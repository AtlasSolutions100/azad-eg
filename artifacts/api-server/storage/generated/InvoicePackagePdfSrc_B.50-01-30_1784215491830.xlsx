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<sst xmlns="http://schemas.openxmlformats.org/spreadsheetml/2006/main" count="314" uniqueCount="194">
  <si>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</si>
  <si>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</si>
  <si>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</si>
  <si>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</si>
  <si>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</si>
  <si>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</si>
  <si>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</si>
  <si>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</si>
  <si>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</si>
  <si>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</si>
  <si>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</si>
  <si>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</si>
  <si>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</si>
  <si>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</si>
  <si>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</si>
  <si>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</si>
  <si>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</si>
  <si>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</si>
  <si>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</si>
  <si>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</si>
  <si>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</si>
  <si>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</si>
  <si>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</si>
  <si>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</si>
  <si>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</si>
  <si>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</si>
  <si>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</si>
  <si>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</si>
  <si>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</si>
  <si>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</si>
  <si>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</si>
  <si>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</si>
  <si>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</si>
  <si>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</si>
  <si>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</si>
  <si>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</si>
  <si>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</si>
  <si>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</si>
  <si>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</si>
  <si>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</si>
  <si>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</si>
  <si>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</si>
  <si>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</si>
  <si>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</si>
  <si>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</si>
  <si>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</si>
  <si>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</si>
  <si>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</si>
  <si>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</si>
  <si>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</si>
  <si>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</si>
  <si>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</si>
  <si>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</si>
  <si>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</si>
  <si>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</si>
  <si>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</si>
  <si>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</si>
  <si>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</si>
  <si>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</si>
  <si>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</si>
  <si>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</si>
  <si>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</si>
  <si>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</si>
  <si>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</si>
  <si>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</si>
  <si>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</si>
  <si>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</si>
  <si>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</si>
  <si>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</si>
  <si>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</si>
  <si>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</si>
  <si>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</si>
  <si>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</si>
  <si>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</si>
  <si>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</si>
  <si>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</si>
  <si>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</si>
  <si>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</si>
  <si>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</si>
  <si>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</si>
  <si>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</si>
  <si>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</si>
  <si>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</si>
  <si>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</si>
  <si>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</si>
  <si>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</si>
  <si>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</si>
  <si>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</si>
  <si>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</si>
  <si>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</si>
  <si>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</si>
  <si>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</si>
  <si>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</si>
  <si>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</si>
  <si>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</si>
  <si>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</si>
  <si>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</si>
  <si>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</si>
  <si>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</si>
  <si>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</si>
  <si>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</si>
  <si>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</si>
  <si>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B.50-03</t>
  </si>
  <si>
    <t>B.50-03_Field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</si>
  <si>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</si>
  <si>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</si>
  <si>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</si>
  <si>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</si>
  <si>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</si>
  <si>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</si>
  <si>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</si>
  <si>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</si>
  <si>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</si>
  <si>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</si>
  <si>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</si>
  <si>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</si>
  <si>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B.50-02</t>
  </si>
  <si>
    <t>Fixed Fee on Labor &amp; Overhead</t>
  </si>
  <si>
    <t>B.50-03</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</si>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</sst>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1381971.85</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0</v>
      </c>
      <c r="H13" s="302">
        <f>'Labor Attachment'!E24</f>
        <v>13281.76</v>
      </c>
      <c r="I13" s="290">
        <v>1135877.49</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v>0</v>
      </c>
      <c r="H14" s="306">
        <f>ROUND(H13*C14,2)</f>
      </c>
      <c r="I14" s="290">
        <v>0</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118</v>
      </c>
      <c r="B39" s="299" t="s">
        <v>117</v>
      </c>
      <c r="C39" s="299"/>
      <c r="D39" s="299"/>
      <c r="E39" s="314">
        <v>0.08</v>
      </c>
      <c r="F39" s="300"/>
      <c r="G39" s="340">
        <v>0</v>
      </c>
      <c r="H39" s="305">
        <f>(H20)*E39</f>
        <v>2343.7528</v>
      </c>
      <c r="I39" s="290">
        <v>0</v>
      </c>
      <c r="J39" s="309">
        <f t="shared" si="6"/>
        <v>15716.6328</v>
      </c>
      <c r="K39" s="281"/>
      <c r="L39" s="253"/>
      <c r="N39" s="283"/>
      <c r="O39" s="283"/>
      <c r="R39" s="100"/>
      <c r="S39" s="100"/>
      <c r="T39" s="100"/>
      <c r="U39" s="100"/>
      <c r="V39" s="100"/>
    </row>
    <row r="40" ht="14.25" customHeight="1" spans="1:22" x14ac:dyDescent="0.25">
      <c r="A40" s="264"/>
      <c r="B40" s="299" t="s">
        <v>119</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120</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121</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122</v>
      </c>
      <c r="B43" s="299"/>
      <c r="C43" s="299"/>
      <c r="D43" s="314">
        <v>0.0039000000000000003</v>
      </c>
      <c r="E43" s="299"/>
      <c r="F43" s="281"/>
      <c r="G43" s="365">
        <v>0</v>
      </c>
      <c r="H43" s="291">
        <f>H13*D43</f>
      </c>
      <c r="I43" s="290">
        <v>0</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123</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124</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125</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126</v>
      </c>
      <c r="E6" s="393">
        <f>Invoice!U6</f>
        <v>46211</v>
      </c>
      <c r="F6" s="15"/>
    </row>
    <row r="7" ht="14.25" customHeight="1" spans="1:18" x14ac:dyDescent="0.25">
      <c r="A7" s="386"/>
      <c r="B7" s="7"/>
      <c r="C7" s="391"/>
      <c r="D7" s="394" t="s">
        <v>127</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128</v>
      </c>
      <c r="B9" s="397" t="s">
        <v>129</v>
      </c>
      <c r="C9" s="398" t="s">
        <v>130</v>
      </c>
      <c r="D9" s="399" t="s">
        <v>131</v>
      </c>
      <c r="E9" s="400" t="s">
        <v>132</v>
      </c>
      <c r="F9" s="15"/>
      <c r="G9" s="7"/>
      <c r="H9" s="100"/>
      <c r="I9" s="100"/>
      <c r="J9" s="100"/>
      <c r="K9" s="100"/>
      <c r="L9" s="100"/>
      <c r="M9" s="100"/>
      <c r="N9" s="100"/>
      <c r="O9" s="100"/>
      <c r="P9" s="100"/>
    </row>
    <row r="10" hidden="1" spans="1:16" x14ac:dyDescent="0.25">
      <c r="A10" s="401" t="s">
        <v>133</v>
      </c>
      <c r="B10" s="402"/>
      <c r="C10" s="403"/>
      <c r="D10" s="404"/>
      <c r="E10" s="405"/>
      <c r="F10" s="15"/>
      <c r="G10" s="7"/>
      <c r="H10" s="100"/>
      <c r="I10" s="100"/>
      <c r="J10" s="100"/>
      <c r="K10" s="100"/>
      <c r="L10" s="100"/>
      <c r="M10" s="100"/>
      <c r="N10" s="100"/>
      <c r="O10" s="100"/>
      <c r="P10" s="100"/>
    </row>
    <row r="11" hidden="1" spans="1:16" x14ac:dyDescent="0.25">
      <c r="A11" s="406" t="s">
        <v>134</v>
      </c>
      <c r="B11" s="334"/>
      <c r="C11" s="334"/>
      <c r="D11" s="334"/>
      <c r="E11" s="388"/>
      <c r="F11" s="407"/>
      <c r="G11" s="408"/>
      <c r="H11" s="100"/>
      <c r="I11" s="100"/>
      <c r="J11" s="100"/>
      <c r="K11" s="100"/>
      <c r="L11" s="100"/>
      <c r="M11" s="100"/>
      <c r="N11" s="100"/>
      <c r="O11" s="100"/>
      <c r="P11" s="100"/>
    </row>
    <row r="12" hidden="1" spans="1:16" x14ac:dyDescent="0.25">
      <c r="A12" s="409" t="s">
        <v>135</v>
      </c>
      <c r="B12" s="410" t="s">
        <v>136</v>
      </c>
      <c r="C12" s="411">
        <v>0</v>
      </c>
      <c r="D12" s="412">
        <v>88</v>
      </c>
      <c r="E12" s="413">
        <f>ROUND(C12*D12,2)</f>
        <v>0</v>
      </c>
      <c r="F12" s="407"/>
      <c r="G12" s="414">
        <f>ROUNDUP((E12+(ROUND(E12*1.09,2)))*1.08,2)</f>
        <v>0</v>
      </c>
      <c r="H12" s="100"/>
      <c r="I12" s="100"/>
      <c r="J12" s="100"/>
      <c r="K12" s="100" t="s">
        <v>137</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138</v>
      </c>
      <c r="O13" s="100"/>
      <c r="P13" s="100">
        <v>64</v>
      </c>
      <c r="Q13" s="415" t="s">
        <v>139</v>
      </c>
    </row>
    <row r="14" ht="14.25" customHeight="1" hidden="1" spans="1:16" x14ac:dyDescent="0.25">
      <c r="A14" s="406" t="s">
        <v>134</v>
      </c>
      <c r="B14" s="334"/>
      <c r="C14" s="334"/>
      <c r="D14" s="334"/>
      <c r="E14" s="388"/>
      <c r="F14" s="407"/>
      <c r="G14" s="416"/>
      <c r="H14" s="100"/>
      <c r="I14" s="100"/>
      <c r="J14" s="100"/>
      <c r="K14" s="100"/>
      <c r="L14" s="100"/>
      <c r="M14" s="100"/>
      <c r="N14" s="100" t="s">
        <v>140</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141</v>
      </c>
      <c r="L15" s="100"/>
      <c r="M15" s="100"/>
      <c r="N15" s="100" t="s">
        <v>142</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143</v>
      </c>
      <c r="B17" s="124"/>
      <c r="C17" s="426"/>
      <c r="D17" s="427"/>
      <c r="E17" s="428"/>
      <c r="F17" s="429"/>
      <c r="G17" s="414"/>
      <c r="H17" s="100"/>
      <c r="I17" s="430"/>
      <c r="J17" s="100"/>
      <c r="K17" s="100"/>
      <c r="L17" s="100"/>
      <c r="M17" s="100"/>
      <c r="N17" s="100"/>
      <c r="O17" s="100"/>
      <c r="P17" s="100"/>
    </row>
    <row r="18" ht="17.25" customHeight="1" spans="1:16" x14ac:dyDescent="0.25">
      <c r="A18" s="425" t="s">
        <v>144</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145</v>
      </c>
      <c r="D21" s="441" t="s">
        <v>145</v>
      </c>
      <c r="E21" s="413" t="s">
        <v>145</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146</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147</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148</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149</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150</v>
      </c>
      <c r="E35" s="491"/>
      <c r="F35" s="15"/>
    </row>
    <row r="36" ht="14.25" customHeight="1" spans="1:5" x14ac:dyDescent="0.25">
      <c r="A36" s="143"/>
      <c r="B36" s="143"/>
      <c r="C36" s="492"/>
      <c r="D36" s="144"/>
      <c r="E36" s="493">
        <f>ROUNDUP((E19 + ROUND(E19*1.2058,2)) * 1.08 * 1.0039, 2)</f>
        <v>3448.05</v>
      </c>
    </row>
    <row r="37" ht="14.25" customHeight="1" spans="1:5" x14ac:dyDescent="0.25">
      <c r="A37" s="494" t="s">
        <v>151</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152</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126</v>
      </c>
      <c r="H5" s="502">
        <f>Invoice!U6</f>
        <v>46211</v>
      </c>
      <c r="I5" s="15"/>
    </row>
    <row r="6" ht="14.25" customHeight="1" spans="5:9" x14ac:dyDescent="0.25">
      <c r="E6" s="500"/>
      <c r="F6" s="500"/>
      <c r="G6" s="503" t="s">
        <v>127</v>
      </c>
      <c r="H6" s="504" t="str">
        <f>Invoice!U4</f>
        <v>B.50-01-30</v>
      </c>
      <c r="I6" s="15"/>
    </row>
    <row r="7" ht="14.25" customHeight="1" spans="2:8" x14ac:dyDescent="0.25">
      <c r="B7" s="505"/>
      <c r="C7" s="98"/>
      <c r="D7" s="98"/>
      <c r="E7" s="98"/>
      <c r="F7" s="98"/>
      <c r="G7" s="98"/>
      <c r="H7" s="98"/>
    </row>
    <row r="8" ht="14.25" customHeight="1" spans="2:8" x14ac:dyDescent="0.25">
      <c r="B8" s="506" t="s">
        <v>153</v>
      </c>
      <c r="C8" s="507"/>
      <c r="D8" s="508" t="str">
        <f>Invoice!R17</f>
        <v>(15CQ002, 15TC002, 45GA000) 15NL004, 15TC002, 15TC012,15CQ002,  15QN004</v>
      </c>
      <c r="E8" s="509"/>
      <c r="F8" s="510"/>
      <c r="G8" s="511" t="s">
        <v>154</v>
      </c>
      <c r="H8" s="512" t="str">
        <f t="array" ref="H8">Agreement_No</f>
        <v>6M8142</v>
      </c>
    </row>
    <row r="9" ht="18.75" customHeight="1" spans="2:8" x14ac:dyDescent="0.25">
      <c r="B9" s="513" t="s">
        <v>45</v>
      </c>
      <c r="C9" s="514"/>
      <c r="D9" s="515" t="str">
        <f>Invoice!F17</f>
        <v> B.50-03</v>
      </c>
      <c r="E9" s="516"/>
      <c r="F9" s="517"/>
      <c r="G9" s="518" t="s">
        <v>155</v>
      </c>
      <c r="H9" s="519">
        <f>Invoice!F18</f>
        <v>NaN</v>
      </c>
    </row>
    <row r="10" ht="14.25" customHeight="1" spans="2:8" x14ac:dyDescent="0.25">
      <c r="B10" s="520" t="s">
        <v>134</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156</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157</v>
      </c>
      <c r="D23" s="15"/>
      <c r="E23" s="15"/>
      <c r="F23" s="15"/>
      <c r="G23" s="15"/>
      <c r="H23" s="531"/>
      <c r="I23" s="15"/>
    </row>
    <row r="24" ht="14.25" customHeight="1" spans="1:9" x14ac:dyDescent="0.25">
      <c r="A24" s="15"/>
      <c r="B24" s="530" t="s">
        <v>158</v>
      </c>
      <c r="C24" s="15" t="s">
        <v>159</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160</v>
      </c>
      <c r="C66" s="550"/>
      <c r="D66" s="550"/>
      <c r="E66" s="550"/>
      <c r="F66" s="550"/>
      <c r="G66" s="550"/>
      <c r="H66" s="551"/>
      <c r="I66" s="15"/>
    </row>
    <row r="67" ht="14.25" customHeight="1" spans="2:9" x14ac:dyDescent="0.25">
      <c r="B67" s="549"/>
      <c r="C67" s="552" t="s">
        <v>161</v>
      </c>
      <c r="D67" s="552" t="s">
        <v>162</v>
      </c>
      <c r="E67"/>
      <c r="F67" s="552"/>
      <c r="G67" s="552" t="s">
        <v>163</v>
      </c>
      <c r="H67" s="551"/>
      <c r="I67" s="15"/>
    </row>
    <row r="68" ht="14.25" customHeight="1" spans="2:9" x14ac:dyDescent="0.25">
      <c r="B68" s="549" t="s">
        <v>164</v>
      </c>
      <c r="C68" s="550"/>
      <c r="D68" s="550"/>
      <c r="E68" s="550"/>
      <c r="F68" s="550"/>
      <c r="G68" s="550"/>
      <c r="H68" s="551"/>
      <c r="I68" s="15"/>
    </row>
    <row r="69" ht="14.25" customHeight="1" spans="2:9" x14ac:dyDescent="0.25">
      <c r="B69" s="553"/>
      <c r="C69" s="552" t="s">
        <v>165</v>
      </c>
      <c r="D69" s="552"/>
      <c r="E69" s="554">
        <f>'Sub Calc'!G44</f>
        <v>1381971.85</v>
      </c>
      <c r="F69" s="554"/>
      <c r="G69" s="555"/>
      <c r="H69" s="556"/>
      <c r="I69" s="15"/>
    </row>
    <row r="70" ht="14.25" customHeight="1" spans="2:9" x14ac:dyDescent="0.25">
      <c r="B70" s="553"/>
      <c r="C70" s="552" t="s">
        <v>166</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167</v>
      </c>
      <c r="C72"/>
      <c r="D72"/>
      <c r="E72"/>
      <c r="F72"/>
      <c r="G72"/>
      <c r="H72" s="134"/>
      <c r="I72" s="15"/>
    </row>
    <row r="73" ht="14.25" customHeight="1" spans="2:9" x14ac:dyDescent="0.25">
      <c r="B73" s="558"/>
      <c r="C73"/>
      <c r="D73"/>
      <c r="E73"/>
      <c r="F73"/>
      <c r="G73"/>
      <c r="H73" s="556"/>
      <c r="I73" s="15"/>
    </row>
    <row r="74" ht="14.25" customHeight="1" spans="2:9" x14ac:dyDescent="0.25">
      <c r="B74" s="559" t="s">
        <v>168</v>
      </c>
      <c r="C74" s="98"/>
      <c r="D74" s="98"/>
      <c r="E74" s="98"/>
      <c r="F74" s="98"/>
      <c r="G74" s="98"/>
      <c r="H74" s="167"/>
      <c r="I74" s="15"/>
    </row>
    <row r="75" ht="14.25" customHeight="1" spans="2:8" x14ac:dyDescent="0.25">
      <c r="B75" s="560" t="s">
        <v>169</v>
      </c>
      <c r="F75" s="92"/>
      <c r="G75" s="92"/>
      <c r="H75" s="92"/>
    </row>
    <row r="76" ht="14.25" customHeight="1" spans="2:8" x14ac:dyDescent="0.25">
      <c r="B76" s="561" t="s">
        <v>170</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171</v>
      </c>
      <c r="D81" s="565" t="s">
        <v>73</v>
      </c>
      <c r="F81" s="92"/>
      <c r="G81" s="566" t="s">
        <v>172</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186</v>
      </c>
      <c r="C9" s="126"/>
      <c r="D9" s="594" t="s">
        <v>135</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187</v>
      </c>
      <c r="C11" s="126"/>
      <c r="D11" s="594"/>
      <c r="E11" s="13"/>
      <c r="F11" s="13"/>
      <c r="G11" s="126"/>
      <c r="H11" s="599"/>
      <c r="I11" s="599"/>
      <c r="J11" s="590"/>
      <c r="K11" s="596"/>
      <c r="L11" s="596"/>
      <c r="M11" s="596"/>
      <c r="N11" s="596"/>
      <c r="O11" s="597">
        <f t="shared" si="1"/>
        <v>0</v>
      </c>
    </row>
    <row r="12" ht="14.25" customHeight="1" spans="2:15" x14ac:dyDescent="0.25">
      <c r="B12" s="598" t="s">
        <v>188</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176</v>
      </c>
      <c r="C7" s="126"/>
      <c r="D7" s="583" t="s">
        <v>177</v>
      </c>
      <c r="E7" s="13"/>
      <c r="F7" s="13"/>
      <c r="G7" s="126"/>
      <c r="H7" s="584" t="s">
        <v>178</v>
      </c>
      <c r="I7" s="585" t="s">
        <v>179</v>
      </c>
      <c r="J7" s="585" t="s">
        <v>180</v>
      </c>
      <c r="K7" s="586" t="s">
        <v>181</v>
      </c>
      <c r="L7" s="586" t="s">
        <v>182</v>
      </c>
      <c r="M7" s="586" t="s">
        <v>183</v>
      </c>
      <c r="N7" s="586" t="s">
        <v>184</v>
      </c>
      <c r="O7" s="587" t="s">
        <v>185</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row r="23" ht="15" customHeight="1" spans="13:13" x14ac:dyDescent="0.25">
      <c r="M23" s="415" t="s">
        <v>192</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173</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186</v>
      </c>
      <c r="C9" s="126"/>
      <c r="D9" s="594" t="s">
        <v>135</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189</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193</v>
      </c>
      <c r="C3" s="498"/>
      <c r="D3" s="498"/>
      <c r="E3" s="498"/>
      <c r="F3" s="498"/>
      <c r="G3" s="498"/>
      <c r="H3" s="498"/>
      <c r="I3" s="498"/>
      <c r="J3" s="498"/>
      <c r="K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623" t="s">
        <v>175</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187</v>
      </c>
      <c r="C11" s="126"/>
      <c r="D11" s="594"/>
      <c r="E11" s="13"/>
      <c r="F11" s="13"/>
      <c r="G11" s="126"/>
      <c r="H11" s="599"/>
      <c r="I11" s="599"/>
      <c r="J11" s="596"/>
      <c r="K11" s="596"/>
      <c r="L11" s="625"/>
      <c r="M11" s="625"/>
      <c r="N11" s="625"/>
      <c r="O11" s="597">
        <f t="shared" si="1"/>
        <v>0</v>
      </c>
    </row>
    <row r="12" ht="14.25" customHeight="1" spans="2:15" x14ac:dyDescent="0.25">
      <c r="B12" s="588" t="s">
        <v>188</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2026-07-16T15:24:51Z</dcterms:modified>
</cp:coreProperties>
</file>