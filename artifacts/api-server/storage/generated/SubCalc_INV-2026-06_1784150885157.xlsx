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80" yWindow="1100" windowWidth="27640" windowHeight="16160"/>
  </bookViews>
  <sheets>
    <sheet sheetId="1" name="Sub Calc _revised" state="visible" r:id="rId4"/>
  </sheets>
  <definedNames>
    <definedName name="BALANCE">'Sub Calc _revised'!$G$52</definedName>
    <definedName name="FIXFEE">'Sub Calc _revised'!$H$47</definedName>
    <definedName name="_xlnm.Print_Area" localSheetId="0">'Sub Calc _revised'!$A1:$K52</definedName>
  </definedNames>
  <calcPr calcId="171027" fullCalcOnLoad="1"/>
</workbook>
</file>

<file path=xl/sharedStrings.xml><?xml version="1.0" encoding="utf-8"?>
<sst xmlns="http://schemas.openxmlformats.org/spreadsheetml/2006/main" count="74" uniqueCount="68">
  <si>
    <t>Date:</t>
  </si>
  <si>
    <t>INVOICE DETAIL ATTACHMENT</t>
  </si>
  <si>
    <t>Invoice No.</t>
  </si>
  <si>
    <t xml:space="preserve"> INV-2026-06</t>
  </si>
  <si>
    <t>Work Plan No.</t>
  </si>
  <si>
    <t>JN-2026-014</t>
  </si>
  <si>
    <t>Budget</t>
  </si>
  <si>
    <t>Amount This Period</t>
  </si>
  <si>
    <t>Previously Billed</t>
  </si>
  <si>
    <t>Amount To Date</t>
  </si>
  <si>
    <t>% Expended</t>
  </si>
  <si>
    <t>Hours to Date</t>
  </si>
  <si>
    <t>Labor</t>
  </si>
  <si>
    <t>Current</t>
  </si>
  <si>
    <t>Previous</t>
  </si>
  <si>
    <t>To Date</t>
  </si>
  <si>
    <t>Home &amp; Branch (H&amp;B)</t>
  </si>
  <si>
    <t xml:space="preserve">Budget Increase: </t>
  </si>
  <si>
    <t>Fringe Benefits on Labor</t>
  </si>
  <si>
    <t>Target Total</t>
  </si>
  <si>
    <t>H&amp;B Overhead Pool on Labor</t>
  </si>
  <si>
    <t>ODC</t>
  </si>
  <si>
    <t>Fringe %</t>
  </si>
  <si>
    <t>Field</t>
  </si>
  <si>
    <t>Fee %</t>
  </si>
  <si>
    <t>Fringe Benefits</t>
  </si>
  <si>
    <t>12</t>
  </si>
  <si>
    <t>Field Overhead Pool</t>
  </si>
  <si>
    <t>13</t>
  </si>
  <si>
    <t>Fringe</t>
  </si>
  <si>
    <t>14</t>
  </si>
  <si>
    <t>Total Labor</t>
  </si>
  <si>
    <t>15</t>
  </si>
  <si>
    <t>Fee</t>
  </si>
  <si>
    <t>Grand Total (Check)</t>
  </si>
  <si>
    <t>Other Direct Costs</t>
  </si>
  <si>
    <t>SS OT Premium(Jordy)</t>
  </si>
  <si>
    <t>37/HR</t>
  </si>
  <si>
    <t>HRS</t>
  </si>
  <si>
    <t>SS DT Premium(Jordy)</t>
  </si>
  <si>
    <t>74/HR</t>
  </si>
  <si>
    <t>Car Rental</t>
  </si>
  <si>
    <t>Days</t>
  </si>
  <si>
    <t>Lodging</t>
  </si>
  <si>
    <t>Nights</t>
  </si>
  <si>
    <t>Meals</t>
  </si>
  <si>
    <t>Each</t>
  </si>
  <si>
    <t>Meals First/Last</t>
  </si>
  <si>
    <t>Total Other Direct Cost</t>
  </si>
  <si>
    <t>Subconsultants:</t>
  </si>
  <si>
    <t>Total Subconsultants</t>
  </si>
  <si>
    <t>Project Management:</t>
  </si>
  <si>
    <t>PMAC</t>
  </si>
  <si>
    <t>Total PMAC</t>
  </si>
  <si>
    <t>Fixed Fee</t>
  </si>
  <si>
    <t>Fixed Fee on Labor &amp; Overhead</t>
  </si>
  <si>
    <t>Fixed Fee for Subconsultants</t>
  </si>
  <si>
    <t>Note: No fixed fee on OH in excess of 150%</t>
  </si>
  <si>
    <t>Total Fixed Fee</t>
  </si>
  <si>
    <r>
      <t>FCCM Home (</t>
    </r>
    <r>
      <rPr>
        <u/>
        <family val="2"/>
        <sz val="10"/>
        <rFont val="Arial"/>
      </rPr>
      <t>0.00%</t>
    </r>
    <r>
      <rPr>
        <family val="2"/>
        <sz val="10"/>
        <rFont val="Arial"/>
      </rPr>
      <t xml:space="preserve"> x Direct labor)</t>
    </r>
  </si>
  <si>
    <r>
      <t>FCCM Field (</t>
    </r>
    <r>
      <rPr>
        <u/>
        <family val="2"/>
        <sz val="10"/>
        <rFont val="Arial"/>
      </rPr>
      <t>0.00%</t>
    </r>
    <r>
      <rPr>
        <family val="2"/>
        <sz val="10"/>
        <rFont val="Arial"/>
      </rPr>
      <t xml:space="preserve"> x Direct labor)</t>
    </r>
  </si>
  <si>
    <t>Rounding</t>
  </si>
  <si>
    <t>Total Amount Due</t>
  </si>
  <si>
    <t>Remaining Balance</t>
  </si>
  <si>
    <t>Original</t>
  </si>
  <si>
    <t>Checked</t>
  </si>
  <si>
    <t>labor</t>
  </si>
  <si>
    <t>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</si>
</sst>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_(&quot;$&quot;* #,##0.00_);_(&quot;$&quot;* (#,##0.00);_(&quot;$&quot;* &quot;-&quot;??_);_(@_)"/>
    <numFmt numFmtId="165" formatCode="_(* #,##0.00_);_(* (#,##0.00);_(* &quot;-&quot;??_);_(@_)"/>
    <numFmt numFmtId="166" formatCode="mm/dd/yy;@"/>
    <numFmt numFmtId="167" formatCode="0&quot; Hrs.&quot;"/>
    <numFmt numFmtId="168" formatCode="0.00&quot; Hrs.&quot;"/>
    <numFmt numFmtId="169" formatCode="0.0&quot; Hrs.&quot;"/>
    <numFmt numFmtId="170" formatCode="0.0%"/>
    <numFmt numFmtId="171" formatCode="&quot;$&quot;#,##0_);[Red](&quot;$&quot;#,##0)"/>
    <numFmt numFmtId="172" formatCode="&quot;$&quot;#,##0.00_);[Red](&quot;$&quot;#,##0.00)"/>
  </numFmts>
  <fonts count="29" x14ac:knownFonts="1">
    <font>
      <color theme="1"/>
      <family val="2"/>
      <scheme val="minor"/>
      <sz val="11"/>
      <name val="Calibri"/>
    </font>
    <font>
      <family val="2"/>
      <sz val="11"/>
      <name val="Arial"/>
    </font>
    <font>
      <color theme="1"/>
      <family val="2"/>
      <sz val="11"/>
      <name val="Arial"/>
    </font>
    <font>
      <family val="2"/>
      <sz val="12"/>
      <name val="Arial"/>
    </font>
    <font>
      <b/>
      <color rgb="FF0070C0"/>
      <family val="2"/>
      <sz val="12"/>
      <name val="Arial"/>
    </font>
    <font>
      <b/>
      <family val="2"/>
      <sz val="12"/>
      <name val="Arial"/>
    </font>
    <font>
      <color theme="1"/>
      <family val="2"/>
      <sz val="12"/>
      <name val="Arial"/>
    </font>
    <font>
      <b/>
      <color theme="1"/>
      <family val="2"/>
      <sz val="12"/>
      <name val="Arial"/>
    </font>
    <font>
      <b/>
      <color theme="1"/>
      <sz val="10"/>
      <name val="Helv"/>
    </font>
    <font>
      <color theme="1"/>
      <sz val="10"/>
      <name val="Helv"/>
    </font>
    <font>
      <b/>
      <family val="2"/>
      <sz val="11"/>
      <name val="Arial"/>
    </font>
    <font>
      <b/>
      <color theme="1"/>
      <family val="2"/>
      <scheme val="minor"/>
      <sz val="11"/>
      <name val="Calibri"/>
    </font>
    <font>
      <b/>
      <i/>
      <u/>
      <family val="2"/>
      <sz val="11"/>
      <name val="Arial"/>
    </font>
    <font>
      <family val="2"/>
      <sz val="10"/>
      <name val="Arial"/>
    </font>
    <font>
      <b/>
      <color theme="1"/>
      <family val="2"/>
      <scheme val="minor"/>
      <sz val="18"/>
      <name val="Calibri"/>
    </font>
    <font>
      <sz val="12"/>
      <name val="Helv"/>
    </font>
    <font>
      <b/>
      <color rgb="FFFF0000"/>
      <sz val="12"/>
      <name val="Helv"/>
    </font>
    <font>
      <b/>
      <sz val="12"/>
      <name val="Helv"/>
    </font>
    <font>
      <i/>
      <family val="2"/>
      <sz val="11"/>
      <name val="Arial"/>
    </font>
    <font>
      <color theme="1"/>
      <family val="2"/>
      <sz val="10"/>
      <name val="Arial"/>
    </font>
    <font>
      <b/>
      <color theme="1"/>
      <family val="2"/>
      <sz val="11"/>
      <name val="Arial"/>
    </font>
    <font>
      <b/>
      <color theme="1"/>
      <family val="2"/>
      <scheme val="minor"/>
      <sz val="9"/>
      <name val="Calibri"/>
    </font>
    <font>
      <color rgb="FFFFFF00"/>
      <family val="2"/>
      <sz val="8"/>
      <name val="Arial"/>
    </font>
    <font>
      <color theme="1"/>
      <family val="2"/>
      <scheme val="minor"/>
      <sz val="8"/>
      <name val="Calibri"/>
    </font>
    <font>
      <b/>
      <color rgb="FFC00000"/>
      <family val="2"/>
      <sz val="11"/>
      <name val="Arial"/>
    </font>
    <font>
      <color rgb="FFFF0000"/>
      <family val="2"/>
      <sz val="11"/>
      <name val="Arial"/>
    </font>
    <font>
      <color rgb="FFFFFF00"/>
      <family val="2"/>
      <sz val="11"/>
      <name val="Arial"/>
    </font>
    <font>
      <b/>
      <color rgb="FFFF0000"/>
      <family val="2"/>
      <sz val="11"/>
      <name val="Arial"/>
    </font>
    <font>
      <family val="2"/>
      <sz val="8"/>
      <name val="Arial"/>
    </font>
  </fonts>
  <fills count="6">
    <fill>
      <patternFill patternType="none"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0" fontId="2" fillId="0" borderId="0" xfId="0" applyFont="1" applyAlignment="1">
      <alignment horizontal="left"/>
    </xf>
    <xf numFmtId="2" fontId="2" fillId="0" borderId="0" xfId="0" applyNumberFormat="1" applyFont="1" applyAlignment="1">
      <alignment horizontal="left"/>
    </xf>
    <xf numFmtId="0" fontId="3" fillId="0" borderId="0" xfId="0" applyFont="1"/>
    <xf numFmtId="0" fontId="4" fillId="2" borderId="1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3" fillId="2" borderId="2" xfId="0" applyFont="1" applyFill="1" applyBorder="1"/>
    <xf numFmtId="164" fontId="3" fillId="2" borderId="2" xfId="0" applyNumberFormat="1" applyFont="1" applyFill="1" applyBorder="1"/>
    <xf numFmtId="164" fontId="5" fillId="2" borderId="2" xfId="0" applyNumberFormat="1" applyFont="1" applyFill="1" applyBorder="1"/>
    <xf numFmtId="14" fontId="5" fillId="2" borderId="2" xfId="0" applyNumberFormat="1" applyFont="1" applyFill="1" applyBorder="1" applyAlignment="1">
      <alignment horizontal="left"/>
    </xf>
    <xf numFmtId="0" fontId="5" fillId="2" borderId="3" xfId="0" applyFont="1" applyFill="1" applyBorder="1"/>
    <xf numFmtId="0" fontId="6" fillId="0" borderId="0" xfId="0" applyFont="1"/>
    <xf numFmtId="49" fontId="6" fillId="0" borderId="0" xfId="0" applyNumberFormat="1" applyFont="1"/>
    <xf numFmtId="0" fontId="6" fillId="0" borderId="0" xfId="0" applyFont="1" applyAlignment="1">
      <alignment horizontal="left"/>
    </xf>
    <xf numFmtId="2" fontId="6" fillId="0" borderId="0" xfId="0" applyNumberFormat="1" applyFont="1" applyAlignment="1">
      <alignment horizontal="left"/>
    </xf>
    <xf numFmtId="0" fontId="5" fillId="2" borderId="4" xfId="0" applyFont="1" applyFill="1" applyBorder="1" applyAlignment="1">
      <alignment horizontal="left"/>
    </xf>
    <xf numFmtId="0" fontId="3" fillId="2" borderId="5" xfId="0" applyFont="1" applyFill="1" applyBorder="1"/>
    <xf numFmtId="164" fontId="3" fillId="2" borderId="5" xfId="0" applyNumberFormat="1" applyFont="1" applyFill="1" applyBorder="1"/>
    <xf numFmtId="164" fontId="5" fillId="2" borderId="5" xfId="0" applyNumberFormat="1" applyFont="1" applyFill="1" applyBorder="1"/>
    <xf numFmtId="0" fontId="7" fillId="2" borderId="5" xfId="0" applyFont="1" applyFill="1" applyBorder="1" applyAlignment="1">
      <alignment horizontal="left"/>
    </xf>
    <xf numFmtId="0" fontId="7" fillId="2" borderId="6" xfId="0" applyFont="1" applyFill="1" applyBorder="1" applyAlignment="1">
      <alignment horizontal="left"/>
    </xf>
    <xf numFmtId="0" fontId="8" fillId="0" borderId="0" xfId="0" applyFont="1"/>
    <xf numFmtId="49" fontId="8" fillId="0" borderId="0" xfId="0" applyNumberFormat="1" applyFont="1"/>
    <xf numFmtId="0" fontId="9" fillId="0" borderId="0" xfId="0" applyFont="1" applyAlignment="1">
      <alignment horizontal="left"/>
    </xf>
    <xf numFmtId="2" fontId="9" fillId="0" borderId="0" xfId="0" applyNumberFormat="1" applyFont="1" applyAlignment="1">
      <alignment horizontal="left"/>
    </xf>
    <xf numFmtId="0" fontId="9" fillId="0" borderId="0" xfId="0" applyFont="1"/>
    <xf numFmtId="0" fontId="10" fillId="0" borderId="0" xfId="0" applyFont="1"/>
    <xf numFmtId="165" fontId="5" fillId="0" borderId="0" xfId="0" applyNumberFormat="1" applyFont="1" applyAlignment="1">
      <alignment horizontal="right"/>
    </xf>
    <xf numFmtId="164" fontId="5" fillId="0" borderId="0" xfId="0" applyNumberFormat="1" applyFont="1"/>
    <xf numFmtId="0" fontId="8" fillId="0" borderId="0" xfId="0" applyFont="1" applyAlignment="1">
      <alignment horizontal="center"/>
    </xf>
    <xf numFmtId="49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left"/>
    </xf>
    <xf numFmtId="2" fontId="8" fillId="0" borderId="0" xfId="0" applyNumberFormat="1" applyFont="1" applyAlignment="1">
      <alignment horizontal="left"/>
    </xf>
    <xf numFmtId="166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0" fillId="3" borderId="7" xfId="0" applyNumberFormat="1" applyFont="1" applyFill="1" applyBorder="1" applyAlignment="1">
      <alignment horizontal="center" vertical="center"/>
    </xf>
    <xf numFmtId="164" fontId="10" fillId="3" borderId="8" xfId="0" applyNumberFormat="1" applyFont="1" applyFill="1" applyBorder="1" applyAlignment="1">
      <alignment horizontal="center" vertical="center" wrapText="1"/>
    </xf>
    <xf numFmtId="164" fontId="10" fillId="3" borderId="9" xfId="0" applyNumberFormat="1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wrapText="1"/>
    </xf>
    <xf numFmtId="49" fontId="11" fillId="0" borderId="0" xfId="0" applyNumberFormat="1" applyFont="1" applyAlignment="1">
      <alignment horizontal="center" wrapText="1"/>
    </xf>
    <xf numFmtId="166" fontId="11" fillId="0" borderId="0" xfId="0" applyNumberFormat="1" applyFont="1" applyAlignment="1">
      <alignment horizontal="left" vertical="center"/>
    </xf>
    <xf numFmtId="2" fontId="11" fillId="0" borderId="0" xfId="0" applyNumberFormat="1" applyFont="1" applyAlignment="1">
      <alignment horizontal="left" vertical="center"/>
    </xf>
    <xf numFmtId="166" fontId="11" fillId="0" borderId="0" xfId="0" applyNumberFormat="1" applyFont="1" applyAlignment="1">
      <alignment horizontal="center" vertical="center"/>
    </xf>
    <xf numFmtId="0" fontId="10" fillId="0" borderId="7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164" fontId="1" fillId="4" borderId="1" xfId="0" applyNumberFormat="1" applyFont="1" applyFill="1" applyBorder="1"/>
    <xf numFmtId="164" fontId="1" fillId="0" borderId="11" xfId="0" applyNumberFormat="1" applyFont="1" applyBorder="1"/>
    <xf numFmtId="164" fontId="1" fillId="0" borderId="2" xfId="0" applyNumberFormat="1" applyFont="1" applyBorder="1" applyAlignment="1">
      <alignment horizontal="left"/>
    </xf>
    <xf numFmtId="0" fontId="1" fillId="0" borderId="3" xfId="0" applyFont="1" applyBorder="1"/>
    <xf numFmtId="49" fontId="0" fillId="0" borderId="0" xfId="0" applyNumberFormat="1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12" fillId="0" borderId="0" xfId="0" applyFont="1"/>
    <xf numFmtId="167" fontId="1" fillId="0" borderId="8" xfId="0" applyNumberFormat="1" applyFont="1" applyBorder="1"/>
    <xf numFmtId="167" fontId="1" fillId="0" borderId="7" xfId="0" applyNumberFormat="1" applyFont="1" applyBorder="1"/>
    <xf numFmtId="164" fontId="1" fillId="4" borderId="12" xfId="0" applyNumberFormat="1" applyFont="1" applyFill="1" applyBorder="1"/>
    <xf numFmtId="164" fontId="1" fillId="0" borderId="13" xfId="0" applyNumberFormat="1" applyFont="1" applyBorder="1"/>
    <xf numFmtId="164" fontId="1" fillId="0" borderId="0" xfId="0" applyNumberFormat="1" applyFont="1" applyAlignment="1">
      <alignment horizontal="left"/>
    </xf>
    <xf numFmtId="0" fontId="1" fillId="0" borderId="14" xfId="0" applyFont="1" applyBorder="1"/>
    <xf numFmtId="0" fontId="1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68" fontId="13" fillId="0" borderId="8" xfId="0" applyNumberFormat="1" applyFont="1" applyBorder="1"/>
    <xf numFmtId="168" fontId="13" fillId="0" borderId="7" xfId="0" applyNumberFormat="1" applyFont="1" applyBorder="1"/>
    <xf numFmtId="165" fontId="0" fillId="0" borderId="0" xfId="0" applyNumberFormat="1"/>
    <xf numFmtId="49" fontId="11" fillId="0" borderId="0" xfId="0" applyNumberFormat="1" applyFont="1"/>
    <xf numFmtId="165" fontId="14" fillId="0" borderId="15" xfId="0" applyNumberFormat="1" applyFont="1" applyBorder="1" applyAlignment="1">
      <alignment horizontal="center"/>
    </xf>
    <xf numFmtId="165" fontId="0" fillId="0" borderId="0" xfId="0" applyNumberFormat="1" applyAlignment="1">
      <alignment horizontal="left"/>
    </xf>
    <xf numFmtId="10" fontId="1" fillId="0" borderId="0" xfId="0" applyNumberFormat="1" applyFont="1"/>
    <xf numFmtId="169" fontId="1" fillId="0" borderId="0" xfId="0" applyNumberFormat="1" applyFont="1"/>
    <xf numFmtId="164" fontId="1" fillId="4" borderId="13" xfId="0" applyNumberFormat="1" applyFont="1" applyFill="1" applyBorder="1"/>
    <xf numFmtId="0" fontId="15" fillId="0" borderId="16" xfId="0" applyFont="1" applyBorder="1"/>
    <xf numFmtId="2" fontId="16" fillId="0" borderId="16" xfId="0" applyNumberFormat="1" applyFont="1" applyBorder="1" applyAlignment="1">
      <alignment horizontal="left"/>
    </xf>
    <xf numFmtId="0" fontId="17" fillId="0" borderId="0" xfId="0" applyFont="1" applyAlignment="1">
      <alignment horizontal="left"/>
    </xf>
    <xf numFmtId="10" fontId="1" fillId="0" borderId="5" xfId="0" applyNumberFormat="1" applyFont="1" applyBorder="1"/>
    <xf numFmtId="2" fontId="15" fillId="0" borderId="16" xfId="0" applyNumberFormat="1" applyFont="1" applyBorder="1" applyAlignment="1">
      <alignment horizontal="left"/>
    </xf>
    <xf numFmtId="0" fontId="15" fillId="0" borderId="0" xfId="0" applyFont="1" applyAlignment="1">
      <alignment horizontal="left"/>
    </xf>
    <xf numFmtId="164" fontId="10" fillId="0" borderId="0" xfId="0" applyNumberFormat="1" applyFont="1" applyAlignment="1">
      <alignment horizontal="center" vertical="center"/>
    </xf>
    <xf numFmtId="10" fontId="18" fillId="0" borderId="0" xfId="0" applyNumberFormat="1" applyFont="1"/>
    <xf numFmtId="164" fontId="1" fillId="4" borderId="7" xfId="0" applyNumberFormat="1" applyFont="1" applyFill="1" applyBorder="1"/>
    <xf numFmtId="164" fontId="1" fillId="0" borderId="8" xfId="0" applyNumberFormat="1" applyFont="1" applyBorder="1"/>
    <xf numFmtId="165" fontId="11" fillId="0" borderId="0" xfId="0" applyNumberFormat="1" applyFont="1"/>
    <xf numFmtId="0" fontId="10" fillId="0" borderId="0" xfId="0" applyFont="1" applyAlignment="1">
      <alignment horizontal="center"/>
    </xf>
    <xf numFmtId="168" fontId="13" fillId="5" borderId="8" xfId="0" applyNumberFormat="1" applyFont="1" applyFill="1" applyBorder="1"/>
    <xf numFmtId="168" fontId="19" fillId="0" borderId="8" xfId="0" applyNumberFormat="1" applyFont="1" applyBorder="1"/>
    <xf numFmtId="164" fontId="1" fillId="5" borderId="13" xfId="0" applyNumberFormat="1" applyFont="1" applyFill="1" applyBorder="1"/>
    <xf numFmtId="2" fontId="1" fillId="0" borderId="0" xfId="0" applyNumberFormat="1" applyFont="1"/>
    <xf numFmtId="167" fontId="1" fillId="0" borderId="0" xfId="0" applyNumberFormat="1" applyFont="1"/>
    <xf numFmtId="168" fontId="13" fillId="0" borderId="0" xfId="0" applyNumberFormat="1" applyFont="1"/>
    <xf numFmtId="165" fontId="1" fillId="0" borderId="0" xfId="0" applyNumberFormat="1" applyFont="1"/>
    <xf numFmtId="164" fontId="1" fillId="5" borderId="8" xfId="0" applyNumberFormat="1" applyFont="1" applyFill="1" applyBorder="1"/>
    <xf numFmtId="9" fontId="15" fillId="0" borderId="0" xfId="0" applyNumberFormat="1" applyFont="1" applyAlignment="1">
      <alignment horizontal="left"/>
    </xf>
    <xf numFmtId="0" fontId="1" fillId="5" borderId="0" xfId="0" applyFont="1" applyFill="1" applyAlignment="1">
      <alignment horizontal="left"/>
    </xf>
    <xf numFmtId="167" fontId="1" fillId="5" borderId="0" xfId="0" applyNumberFormat="1" applyFont="1" applyFill="1"/>
    <xf numFmtId="0" fontId="1" fillId="5" borderId="14" xfId="0" applyFont="1" applyFill="1" applyBorder="1"/>
    <xf numFmtId="0" fontId="17" fillId="0" borderId="16" xfId="0" applyFont="1" applyBorder="1" applyAlignment="1">
      <alignment horizontal="left"/>
    </xf>
    <xf numFmtId="0" fontId="1" fillId="5" borderId="0" xfId="0" applyFont="1" applyFill="1"/>
    <xf numFmtId="0" fontId="15" fillId="0" borderId="16" xfId="0" applyFont="1" applyBorder="1" applyAlignment="1">
      <alignment horizontal="left"/>
    </xf>
    <xf numFmtId="0" fontId="10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" fillId="3" borderId="0" xfId="0" applyFont="1" applyFill="1"/>
    <xf numFmtId="164" fontId="1" fillId="3" borderId="12" xfId="0" applyNumberFormat="1" applyFont="1" applyFill="1" applyBorder="1"/>
    <xf numFmtId="164" fontId="1" fillId="3" borderId="13" xfId="0" applyNumberFormat="1" applyFont="1" applyFill="1" applyBorder="1"/>
    <xf numFmtId="170" fontId="1" fillId="3" borderId="14" xfId="0" applyNumberFormat="1" applyFont="1" applyFill="1" applyBorder="1" applyAlignment="1">
      <alignment horizontal="center"/>
    </xf>
    <xf numFmtId="2" fontId="15" fillId="0" borderId="0" xfId="0" applyNumberFormat="1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/>
    <xf numFmtId="171" fontId="1" fillId="0" borderId="0" xfId="0" applyNumberFormat="1" applyFont="1"/>
    <xf numFmtId="164" fontId="1" fillId="5" borderId="13" xfId="0" applyNumberFormat="1" applyFont="1" applyFill="1" applyBorder="1" applyAlignment="1">
      <alignment horizontal="center"/>
    </xf>
    <xf numFmtId="164" fontId="1" fillId="0" borderId="13" xfId="0" applyNumberFormat="1" applyFont="1" applyBorder="1" applyAlignment="1">
      <alignment horizontal="center"/>
    </xf>
    <xf numFmtId="0" fontId="13" fillId="5" borderId="0" xfId="0" applyFont="1" applyFill="1"/>
    <xf numFmtId="172" fontId="1" fillId="5" borderId="0" xfId="0" applyNumberFormat="1" applyFont="1" applyFill="1"/>
    <xf numFmtId="0" fontId="1" fillId="3" borderId="0" xfId="0" applyFont="1" applyFill="1" applyAlignment="1">
      <alignment horizontal="left"/>
    </xf>
    <xf numFmtId="164" fontId="1" fillId="3" borderId="13" xfId="0" applyNumberFormat="1" applyFont="1" applyFill="1" applyBorder="1" applyAlignment="1">
      <alignment horizontal="center"/>
    </xf>
    <xf numFmtId="9" fontId="1" fillId="3" borderId="14" xfId="0" applyNumberFormat="1" applyFont="1" applyFill="1" applyBorder="1" applyAlignment="1">
      <alignment horizontal="center"/>
    </xf>
    <xf numFmtId="172" fontId="1" fillId="0" borderId="0" xfId="0" applyNumberFormat="1" applyFont="1"/>
    <xf numFmtId="164" fontId="1" fillId="5" borderId="12" xfId="0" applyNumberFormat="1" applyFont="1" applyFill="1" applyBorder="1"/>
    <xf numFmtId="164" fontId="1" fillId="5" borderId="12" xfId="0" applyNumberFormat="1" applyFont="1" applyFill="1" applyBorder="1" applyAlignment="1">
      <alignment horizontal="center"/>
    </xf>
    <xf numFmtId="0" fontId="12" fillId="5" borderId="0" xfId="0" applyFont="1" applyFill="1" applyAlignment="1">
      <alignment horizontal="left"/>
    </xf>
    <xf numFmtId="0" fontId="1" fillId="5" borderId="0" xfId="0" applyFont="1" applyFill="1" applyAlignment="1">
      <alignment horizontal="center"/>
    </xf>
    <xf numFmtId="9" fontId="1" fillId="5" borderId="0" xfId="0" applyNumberFormat="1" applyFont="1" applyFill="1"/>
    <xf numFmtId="165" fontId="1" fillId="3" borderId="0" xfId="0" applyNumberFormat="1" applyFont="1" applyFill="1"/>
    <xf numFmtId="165" fontId="1" fillId="0" borderId="0" xfId="0" applyNumberFormat="1" applyFont="1" applyAlignment="1">
      <alignment horizontal="left"/>
    </xf>
    <xf numFmtId="164" fontId="1" fillId="0" borderId="12" xfId="0" applyNumberFormat="1" applyFont="1" applyBorder="1"/>
    <xf numFmtId="10" fontId="1" fillId="5" borderId="0" xfId="0" applyNumberFormat="1" applyFont="1" applyFill="1"/>
    <xf numFmtId="165" fontId="1" fillId="5" borderId="0" xfId="0" applyNumberFormat="1" applyFont="1" applyFill="1"/>
    <xf numFmtId="9" fontId="1" fillId="0" borderId="0" xfId="0" applyNumberFormat="1" applyFont="1"/>
    <xf numFmtId="0" fontId="18" fillId="0" borderId="0" xfId="0" applyFont="1"/>
    <xf numFmtId="169" fontId="13" fillId="0" borderId="0" xfId="0" applyNumberFormat="1" applyFont="1"/>
    <xf numFmtId="170" fontId="1" fillId="0" borderId="14" xfId="0" applyNumberFormat="1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164" fontId="20" fillId="3" borderId="4" xfId="0" applyNumberFormat="1" applyFont="1" applyFill="1" applyBorder="1"/>
    <xf numFmtId="164" fontId="10" fillId="3" borderId="17" xfId="0" applyNumberFormat="1" applyFont="1" applyFill="1" applyBorder="1"/>
    <xf numFmtId="164" fontId="10" fillId="5" borderId="17" xfId="0" applyNumberFormat="1" applyFont="1" applyFill="1" applyBorder="1"/>
    <xf numFmtId="170" fontId="10" fillId="3" borderId="6" xfId="0" applyNumberFormat="1" applyFont="1" applyFill="1" applyBorder="1" applyAlignment="1">
      <alignment horizontal="center"/>
    </xf>
    <xf numFmtId="164" fontId="11" fillId="0" borderId="0" xfId="0" applyNumberFormat="1" applyFont="1"/>
    <xf numFmtId="164" fontId="20" fillId="0" borderId="0" xfId="0" applyNumberFormat="1" applyFont="1" applyAlignment="1">
      <alignment horizontal="left"/>
    </xf>
    <xf numFmtId="2" fontId="20" fillId="0" borderId="0" xfId="0" applyNumberFormat="1" applyFont="1" applyAlignment="1">
      <alignment horizontal="left"/>
    </xf>
    <xf numFmtId="165" fontId="11" fillId="0" borderId="0" xfId="0" applyNumberFormat="1" applyFont="1" applyAlignment="1">
      <alignment horizontal="left"/>
    </xf>
    <xf numFmtId="164" fontId="10" fillId="0" borderId="0" xfId="0" applyNumberFormat="1" applyFont="1"/>
    <xf numFmtId="165" fontId="21" fillId="0" borderId="0" xfId="0" applyNumberFormat="1" applyFont="1"/>
    <xf numFmtId="0" fontId="22" fillId="0" borderId="0" xfId="0" applyFont="1" applyAlignment="1">
      <alignment horizontal="right"/>
    </xf>
    <xf numFmtId="49" fontId="23" fillId="0" borderId="0" xfId="0" applyNumberFormat="1" applyFont="1"/>
    <xf numFmtId="0" fontId="23" fillId="0" borderId="0" xfId="0" applyFont="1" applyAlignment="1">
      <alignment horizontal="left"/>
    </xf>
    <xf numFmtId="2" fontId="23" fillId="0" borderId="0" xfId="0" applyNumberFormat="1" applyFont="1" applyAlignment="1">
      <alignment horizontal="left"/>
    </xf>
    <xf numFmtId="0" fontId="23" fillId="0" borderId="0" xfId="0" applyFont="1"/>
    <xf numFmtId="0" fontId="1" fillId="0" borderId="0" xfId="0" applyFont="1" applyAlignment="1">
      <alignment horizontal="right"/>
    </xf>
    <xf numFmtId="165" fontId="24" fillId="0" borderId="0" xfId="0" applyNumberFormat="1" applyFont="1"/>
    <xf numFmtId="165" fontId="25" fillId="5" borderId="0" xfId="0" applyNumberFormat="1" applyFont="1" applyFill="1"/>
    <xf numFmtId="0" fontId="26" fillId="0" borderId="0" xfId="0" applyFont="1"/>
    <xf numFmtId="165" fontId="25" fillId="0" borderId="0" xfId="0" applyNumberFormat="1" applyFont="1"/>
    <xf numFmtId="165" fontId="27" fillId="0" borderId="0" xfId="0" applyNumberFormat="1" applyFont="1"/>
    <xf numFmtId="0" fontId="1" fillId="0" borderId="0" xfId="0" applyFont="1" applyAlignment="1">
      <alignment horizontal="center"/>
    </xf>
    <xf numFmtId="164" fontId="28" fillId="0" borderId="0" xfId="0" applyNumberFormat="1" applyFont="1"/>
    <xf numFmtId="165" fontId="28" fillId="0" borderId="0" xfId="0" applyNumberFormat="1" applyFont="1"/>
    <xf numFmtId="164" fontId="2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952500</xdr:colOff>
      <xdr:row>20</xdr:row>
      <xdr:rowOff>133350</xdr:rowOff>
    </xdr:from>
    <xdr:to>
      <xdr:col>18</xdr:col>
      <xdr:colOff>247650</xdr:colOff>
      <xdr:row>50</xdr:row>
      <xdr:rowOff>104775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61"/>
  <sheetViews>
    <sheetView workbookViewId="0" zoomScale="90" zoomScaleNormal="90" view="pageBreakPreview">
      <selection activeCell="K10" sqref="K10"/>
    </sheetView>
  </sheetViews>
  <sheetFormatPr defaultRowHeight="19.5" outlineLevelRow="0" outlineLevelCol="0" x14ac:dyDescent="0" defaultColWidth="8.7109375" customHeight="1"/>
  <cols>
    <col min="1" max="1" width="5.42578125" style="1" customWidth="1"/>
    <col min="2" max="2" width="5.7109375" style="1" customWidth="1"/>
    <col min="3" max="3" width="9.7109375" style="1" customWidth="1"/>
    <col min="4" max="4" width="19.28515625" style="1" customWidth="1"/>
    <col min="5" max="5" width="10.28515625" style="1" customWidth="1"/>
    <col min="6" max="6" width="9.5703125" style="1" customWidth="1"/>
    <col min="7" max="7" width="12.7109375" style="2" customWidth="1"/>
    <col min="8" max="8" width="11.5703125" style="2" customWidth="1"/>
    <col min="9" max="9" width="12" style="2" customWidth="1"/>
    <col min="10" max="10" width="12.42578125" style="2" customWidth="1"/>
    <col min="11" max="11" width="9.140625" style="1" customWidth="1"/>
    <col min="12" max="12" width="2" style="1" customWidth="1"/>
    <col min="13" max="13" width="18.7109375" style="1" customWidth="1"/>
    <col min="14" max="14" width="10.140625" style="3" customWidth="1"/>
    <col min="15" max="15" width="4.85546875" style="4" customWidth="1"/>
    <col min="16" max="16" width="17.7109375" style="5" customWidth="1"/>
    <col min="17" max="17" width="19.5703125" style="6" customWidth="1"/>
    <col min="18" max="18" width="29.28515625" style="5" customWidth="1"/>
    <col min="19" max="22" width="9.28515625" style="3" customWidth="1"/>
    <col min="23" max="23" width="7.42578125" style="3" customWidth="1"/>
    <col min="24" max="24" width="6.7109375" style="3" customWidth="1"/>
    <col min="25" max="25" width="18.85546875" style="3" customWidth="1"/>
    <col min="26" max="28" width="8.7109375" style="1" customWidth="1"/>
    <col min="29" max="29" width="20.28515625" style="1" customWidth="1"/>
    <col min="30" max="16384" width="8.7109375" style="1" customWidth="1"/>
  </cols>
  <sheetData>
    <row r="1" ht="19.5" customHeight="1" spans="1:25" s="7" customFormat="1" x14ac:dyDescent="0.25">
      <c r="A1" s="8" t="str">
        <f>[1]Invoice!B4</f>
        <v>Azad Engineering PC</v>
      </c>
      <c r="B1" s="9"/>
      <c r="C1" s="9"/>
      <c r="D1" s="9"/>
      <c r="E1" s="10"/>
      <c r="F1" s="10"/>
      <c r="G1" s="11"/>
      <c r="H1" s="11"/>
      <c r="I1" s="12" t="s">
        <v>0</v>
      </c>
      <c r="J1" s="13">
        <v>46203.5</v>
      </c>
      <c r="K1" s="14"/>
      <c r="N1" s="15"/>
      <c r="O1" s="16"/>
      <c r="P1" s="17"/>
      <c r="Q1" s="18"/>
      <c r="R1" s="17"/>
      <c r="S1" s="15"/>
      <c r="T1" s="15"/>
      <c r="U1" s="15"/>
      <c r="V1" s="15"/>
      <c r="W1" s="15"/>
      <c r="X1" s="15"/>
      <c r="Y1" s="15"/>
    </row>
    <row r="2" ht="19.5" customHeight="1" spans="1:25" s="7" customFormat="1" x14ac:dyDescent="0.25">
      <c r="A2" s="19" t="s">
        <v>1</v>
      </c>
      <c r="B2" s="20"/>
      <c r="C2" s="20"/>
      <c r="D2" s="20"/>
      <c r="E2" s="20"/>
      <c r="F2" s="20"/>
      <c r="G2" s="21"/>
      <c r="H2" s="21"/>
      <c r="I2" s="22" t="s">
        <v>2</v>
      </c>
      <c r="J2" s="23" t="s">
        <v>3</v>
      </c>
      <c r="K2" s="24"/>
      <c r="L2" s="17"/>
      <c r="N2" s="25"/>
      <c r="O2" s="26"/>
      <c r="P2" s="27"/>
      <c r="Q2" s="28"/>
      <c r="R2" s="27"/>
      <c r="S2" s="29"/>
      <c r="T2" s="29"/>
      <c r="U2" s="29"/>
      <c r="V2" s="29"/>
      <c r="W2" s="29"/>
      <c r="X2" s="29"/>
      <c r="Y2" s="15"/>
    </row>
    <row r="3" ht="19.5" customHeight="1" spans="1:24" x14ac:dyDescent="0.25">
      <c r="A3" s="30"/>
      <c r="G3" s="2"/>
      <c r="H3" s="2"/>
      <c r="I3" s="31" t="s">
        <v>4</v>
      </c>
      <c r="J3" s="32" t="s">
        <v>5</v>
      </c>
      <c r="N3" s="33"/>
      <c r="O3" s="34"/>
      <c r="P3" s="35"/>
      <c r="Q3" s="36"/>
      <c r="R3" s="35"/>
      <c r="S3" s="37"/>
      <c r="T3" s="37"/>
      <c r="U3" s="37"/>
      <c r="V3" s="37"/>
      <c r="W3" s="37"/>
      <c r="X3" s="37"/>
    </row>
    <row r="4" ht="30" customHeight="1" spans="1:24" x14ac:dyDescent="0.25">
      <c r="A4" s="38"/>
      <c r="B4" s="39"/>
      <c r="C4" s="39"/>
      <c r="G4" s="40" t="s">
        <v>6</v>
      </c>
      <c r="H4" s="41" t="s">
        <v>7</v>
      </c>
      <c r="I4" s="42" t="s">
        <v>8</v>
      </c>
      <c r="J4" s="41" t="s">
        <v>9</v>
      </c>
      <c r="K4" s="43" t="s">
        <v>10</v>
      </c>
      <c r="N4" s="44"/>
      <c r="O4" s="45"/>
      <c r="P4" s="46"/>
      <c r="Q4" s="47"/>
      <c r="R4" s="46"/>
      <c r="S4" s="48"/>
      <c r="T4" s="48"/>
      <c r="U4" s="48"/>
      <c r="V4" s="48"/>
      <c r="W4" s="48"/>
      <c r="X4" s="48"/>
    </row>
    <row r="5" ht="19.5" customHeight="1" spans="4:24" x14ac:dyDescent="0.25">
      <c r="D5" s="49" t="s">
        <v>11</v>
      </c>
      <c r="E5" s="50"/>
      <c r="F5" s="50"/>
      <c r="G5" s="51"/>
      <c r="H5" s="52"/>
      <c r="I5" s="53"/>
      <c r="J5" s="52"/>
      <c r="K5" s="54"/>
      <c r="O5" s="55"/>
      <c r="P5" s="56"/>
      <c r="Q5" s="57"/>
      <c r="R5" s="56"/>
    </row>
    <row r="6" ht="19.5" customHeight="1" spans="1:24" x14ac:dyDescent="0.25">
      <c r="A6" s="58" t="s">
        <v>12</v>
      </c>
      <c r="D6" s="59" t="s">
        <v>13</v>
      </c>
      <c r="E6" s="59" t="s">
        <v>14</v>
      </c>
      <c r="F6" s="60" t="s">
        <v>15</v>
      </c>
      <c r="G6" s="61"/>
      <c r="H6" s="62"/>
      <c r="I6" s="63"/>
      <c r="J6" s="62"/>
      <c r="K6" s="64"/>
      <c r="O6" s="55"/>
      <c r="P6" s="56"/>
      <c r="Q6" s="57"/>
      <c r="R6" s="56"/>
    </row>
    <row r="7" ht="19.5" customHeight="1" spans="1:24" x14ac:dyDescent="0.25">
      <c r="A7" s="65" t="s">
        <v>16</v>
      </c>
      <c r="B7" s="66"/>
      <c r="C7" s="66"/>
      <c r="D7" s="67">
        <f>'[1]Sub Labor'!D18</f>
        <v>0</v>
      </c>
      <c r="E7" s="67">
        <f>+F7-D7</f>
        <v>0</v>
      </c>
      <c r="F7" s="68">
        <f>+'[1]Sub Labor'!K18</f>
        <v>0</v>
      </c>
      <c r="G7" s="61"/>
      <c r="H7" s="62">
        <v>3800</v>
      </c>
      <c r="I7" s="62">
        <f>+J7-H7</f>
        <v>0</v>
      </c>
      <c r="J7" s="62">
        <f>+N7</f>
        <v>0</v>
      </c>
      <c r="K7" s="64"/>
      <c r="N7" s="69"/>
      <c r="O7" s="70"/>
      <c r="P7" s="71" t="s">
        <v>17</v>
      </c>
      <c r="Q7" s="71"/>
      <c r="R7" s="72"/>
      <c r="S7" s="69"/>
      <c r="T7" s="69"/>
      <c r="U7" s="69"/>
      <c r="V7" s="69"/>
      <c r="W7" s="69"/>
      <c r="X7" s="69"/>
    </row>
    <row r="8" ht="19.5" customHeight="1" spans="1:29" x14ac:dyDescent="0.25">
      <c r="A8" s="66" t="s">
        <v>18</v>
      </c>
      <c r="B8" s="66"/>
      <c r="C8" s="66"/>
      <c r="D8" s="73"/>
      <c r="E8" s="74"/>
      <c r="F8" s="74"/>
      <c r="G8" s="75">
        <f>G7*D8</f>
        <v>0</v>
      </c>
      <c r="H8" s="62">
        <v>4582.04</v>
      </c>
      <c r="I8" s="62">
        <f t="shared" ref="I8:I13" si="0">+J8-H8</f>
        <v>0</v>
      </c>
      <c r="J8" s="62">
        <f>+N8</f>
        <v>0</v>
      </c>
      <c r="K8" s="64"/>
      <c r="N8" s="69"/>
      <c r="O8" s="70">
        <v>8</v>
      </c>
      <c r="P8" s="76" t="s">
        <v>19</v>
      </c>
      <c r="Q8" s="77">
        <v>133202.19</v>
      </c>
      <c r="R8" s="78"/>
      <c r="S8" s="69"/>
      <c r="T8" s="69"/>
      <c r="U8" s="69"/>
      <c r="V8" s="69"/>
      <c r="W8" s="69"/>
      <c r="X8" s="69"/>
      <c r="Y8" s="1"/>
      <c r="AC8" s="2"/>
    </row>
    <row r="9" ht="19.5" customHeight="1" spans="1:29" x14ac:dyDescent="0.25">
      <c r="A9" s="66" t="s">
        <v>20</v>
      </c>
      <c r="B9" s="66"/>
      <c r="C9" s="66"/>
      <c r="D9" s="79"/>
      <c r="E9" s="74"/>
      <c r="F9" s="74"/>
      <c r="G9" s="75">
        <f>G7*D9</f>
        <v>0</v>
      </c>
      <c r="H9" s="62">
        <v>2933.71</v>
      </c>
      <c r="I9" s="62">
        <f t="shared" si="0"/>
        <v>0</v>
      </c>
      <c r="J9" s="62">
        <f>+N9</f>
        <v>0</v>
      </c>
      <c r="K9" s="64"/>
      <c r="N9" s="69"/>
      <c r="O9" s="70">
        <v>9</v>
      </c>
      <c r="P9" s="76" t="s">
        <v>21</v>
      </c>
      <c r="Q9" s="80">
        <v>4625</v>
      </c>
      <c r="R9" s="81"/>
      <c r="S9" s="69"/>
      <c r="T9" s="69"/>
      <c r="U9" s="69"/>
      <c r="V9" s="69"/>
      <c r="W9" s="69"/>
      <c r="X9" s="69"/>
      <c r="Y9" s="39"/>
      <c r="AC9" s="82"/>
    </row>
    <row r="10" ht="19.5" customHeight="1" spans="1:29" x14ac:dyDescent="0.25">
      <c r="A10" s="66"/>
      <c r="B10" s="66"/>
      <c r="C10" s="66"/>
      <c r="D10" s="83">
        <f>SUM(D8:D9)</f>
        <v>0</v>
      </c>
      <c r="E10" s="74"/>
      <c r="F10" s="74"/>
      <c r="G10" s="84">
        <f>SUBTOTAL(9,G7:G9)</f>
        <v>0</v>
      </c>
      <c r="H10" s="85">
        <f>SUBTOTAL(9,H7:H9)</f>
        <v>0</v>
      </c>
      <c r="I10" s="85">
        <f>SUBTOTAL(9,I7:I9)</f>
        <v>0</v>
      </c>
      <c r="J10" s="85">
        <f>SUBTOTAL(9,J7:J9)</f>
        <v>0</v>
      </c>
      <c r="K10" s="64"/>
      <c r="N10" s="86"/>
      <c r="O10" s="70">
        <v>10</v>
      </c>
      <c r="P10" s="76" t="s">
        <v>22</v>
      </c>
      <c r="Q10" s="80">
        <v>1.09</v>
      </c>
      <c r="R10" s="81"/>
      <c r="S10" s="69"/>
      <c r="T10" s="69"/>
      <c r="U10" s="69"/>
      <c r="V10" s="69"/>
      <c r="W10" s="69"/>
      <c r="X10" s="69"/>
      <c r="Y10" s="1"/>
      <c r="Z10" s="87"/>
      <c r="AA10" s="87"/>
      <c r="AB10" s="87"/>
      <c r="AC10" s="2"/>
    </row>
    <row r="11" ht="21" customHeight="1" spans="1:29" x14ac:dyDescent="0.25">
      <c r="A11" s="30" t="s">
        <v>23</v>
      </c>
      <c r="B11" s="66"/>
      <c r="C11" s="66"/>
      <c r="D11" s="88">
        <f>+'[1]Sub Labor'!D26</f>
        <v>144</v>
      </c>
      <c r="E11" s="89">
        <f>'[1]Master File '!E12</f>
        <v>1475</v>
      </c>
      <c r="F11" s="68">
        <f>D11+E11</f>
        <v>1619</v>
      </c>
      <c r="G11" s="61">
        <v>68450</v>
      </c>
      <c r="H11" s="90">
        <v>4840</v>
      </c>
      <c r="I11" s="90">
        <v>66008</v>
      </c>
      <c r="J11" s="62">
        <f>H11+I11</f>
        <v>76983.68</v>
      </c>
      <c r="K11" s="64"/>
      <c r="M11" s="91"/>
      <c r="O11" s="70">
        <v>11</v>
      </c>
      <c r="P11" s="76" t="s">
        <v>24</v>
      </c>
      <c r="Q11" s="80">
        <v>0.08</v>
      </c>
      <c r="R11" s="81"/>
      <c r="S11" s="69"/>
      <c r="T11" s="69"/>
      <c r="U11" s="69"/>
      <c r="V11" s="69"/>
      <c r="W11" s="69"/>
      <c r="X11" s="69"/>
      <c r="Y11" s="1"/>
      <c r="Z11" s="92"/>
      <c r="AA11" s="92"/>
      <c r="AB11" s="92"/>
      <c r="AC11" s="2"/>
    </row>
    <row r="12" ht="19.5" customHeight="1" spans="1:29" x14ac:dyDescent="0.25">
      <c r="A12" s="1" t="s">
        <v>25</v>
      </c>
      <c r="D12" s="73">
        <v>1.2058</v>
      </c>
      <c r="E12" s="74"/>
      <c r="F12" s="74"/>
      <c r="G12" s="75">
        <v>74610.51</v>
      </c>
      <c r="H12" s="62">
        <v>5836.07</v>
      </c>
      <c r="I12" s="90">
        <v>71948.72</v>
      </c>
      <c r="J12" s="62">
        <f>H12+I12</f>
        <v>85183.194944</v>
      </c>
      <c r="K12" s="64"/>
      <c r="N12" s="69"/>
      <c r="O12" s="70" t="s">
        <v>26</v>
      </c>
      <c r="P12" s="76" t="s">
        <v>23</v>
      </c>
      <c r="Q12" s="80">
        <f>(Q8 - Q9) / ((1 + Q10) * (1 + Q11))</f>
        <v>56963.1357433989</v>
      </c>
      <c r="R12" s="81"/>
      <c r="S12" s="69"/>
      <c r="T12" s="69"/>
      <c r="U12" s="69"/>
      <c r="V12" s="69"/>
      <c r="W12" s="69"/>
      <c r="X12" s="69"/>
      <c r="Y12" s="66"/>
      <c r="Z12" s="93"/>
      <c r="AA12" s="93"/>
      <c r="AB12" s="93"/>
      <c r="AC12" s="2"/>
    </row>
    <row r="13" ht="19.5" customHeight="1" spans="1:29" x14ac:dyDescent="0.25">
      <c r="A13" s="66" t="s">
        <v>27</v>
      </c>
      <c r="B13" s="66"/>
      <c r="C13" s="66"/>
      <c r="D13" s="79"/>
      <c r="F13" s="94"/>
      <c r="G13" s="75"/>
      <c r="H13" s="62">
        <v>3736.63</v>
      </c>
      <c r="I13" s="90">
        <f t="shared" si="0"/>
        <v>0</v>
      </c>
      <c r="J13" s="62">
        <f>+N13</f>
        <v>0</v>
      </c>
      <c r="K13" s="64"/>
      <c r="N13" s="69"/>
      <c r="O13" s="70" t="s">
        <v>28</v>
      </c>
      <c r="P13" s="76" t="s">
        <v>29</v>
      </c>
      <c r="Q13" s="80">
        <f>Q12*Q10</f>
        <v>62089.81796030481</v>
      </c>
      <c r="R13" s="81"/>
      <c r="S13" s="69"/>
      <c r="T13" s="69"/>
      <c r="U13" s="69"/>
      <c r="V13" s="69"/>
      <c r="W13" s="69"/>
      <c r="X13" s="69"/>
      <c r="Y13" s="66"/>
      <c r="Z13" s="73"/>
      <c r="AA13" s="74"/>
      <c r="AB13" s="74"/>
      <c r="AC13" s="2"/>
    </row>
    <row r="14" ht="19.5" customHeight="1" spans="1:29" x14ac:dyDescent="0.25">
      <c r="A14" s="66"/>
      <c r="B14" s="66"/>
      <c r="C14" s="66"/>
      <c r="D14" s="83">
        <f>SUM(D12:D13)</f>
        <v>1.2058</v>
      </c>
      <c r="G14" s="84">
        <f>SUBTOTAL(9,G11:G13)</f>
        <v>143060.51</v>
      </c>
      <c r="H14" s="85">
        <f>SUBTOTAL(9,H11:H13)</f>
        <v>24210.154944</v>
      </c>
      <c r="I14" s="95">
        <f>SUBTOTAL(9,I11:I13)</f>
        <v>137956.72</v>
      </c>
      <c r="J14" s="85">
        <f>SUBTOTAL(9,J11:J13)</f>
        <v>162166.87494399998</v>
      </c>
      <c r="K14" s="64"/>
      <c r="N14" s="86"/>
      <c r="O14" s="70" t="s">
        <v>30</v>
      </c>
      <c r="P14" s="76" t="s">
        <v>31</v>
      </c>
      <c r="Q14" s="80">
        <f>Q12+Q13</f>
        <v>119052.95370370371</v>
      </c>
      <c r="R14" s="81"/>
      <c r="S14" s="69"/>
      <c r="T14" s="69"/>
      <c r="U14" s="69"/>
      <c r="V14" s="69"/>
      <c r="W14" s="69"/>
      <c r="X14" s="69"/>
      <c r="Y14" s="66"/>
      <c r="Z14" s="73"/>
      <c r="AA14" s="74"/>
      <c r="AB14" s="74"/>
      <c r="AC14" s="2"/>
    </row>
    <row r="15" ht="14.25" customHeight="1" spans="1:29" x14ac:dyDescent="0.25">
      <c r="A15" s="66"/>
      <c r="B15" s="66"/>
      <c r="C15" s="66"/>
      <c r="D15" s="73"/>
      <c r="G15" s="61"/>
      <c r="H15" s="62"/>
      <c r="I15" s="90"/>
      <c r="J15" s="62"/>
      <c r="K15" s="64"/>
      <c r="N15" s="86"/>
      <c r="O15" s="70" t="s">
        <v>32</v>
      </c>
      <c r="P15" s="76" t="s">
        <v>33</v>
      </c>
      <c r="Q15" s="80">
        <f>Q14*Q11</f>
        <v>9524.236296296296</v>
      </c>
      <c r="R15" s="96"/>
      <c r="S15" s="69"/>
      <c r="T15" s="69"/>
      <c r="U15" s="69"/>
      <c r="V15" s="69"/>
      <c r="W15" s="69"/>
      <c r="X15" s="69"/>
      <c r="Y15" s="66"/>
      <c r="Z15" s="83"/>
      <c r="AA15" s="74"/>
      <c r="AB15" s="74"/>
      <c r="AC15" s="2"/>
    </row>
    <row r="16" ht="16" customHeight="1" hidden="1" spans="1:29" x14ac:dyDescent="0.25">
      <c r="A16" s="97"/>
      <c r="B16" s="97"/>
      <c r="C16" s="97"/>
      <c r="D16" s="98"/>
      <c r="E16" s="98"/>
      <c r="F16" s="98"/>
      <c r="G16" s="61"/>
      <c r="H16" s="90">
        <v>0</v>
      </c>
      <c r="I16" s="90">
        <v>0</v>
      </c>
      <c r="J16" s="90">
        <f>+H16+I16</f>
        <v>0</v>
      </c>
      <c r="K16" s="99"/>
      <c r="N16" s="86"/>
      <c r="O16" s="70"/>
      <c r="P16" s="100"/>
      <c r="Q16" s="80"/>
      <c r="R16" s="81"/>
      <c r="S16" s="69"/>
      <c r="T16" s="69"/>
      <c r="U16" s="69"/>
      <c r="V16" s="69"/>
      <c r="W16" s="69"/>
      <c r="X16" s="69"/>
      <c r="Y16" s="66"/>
      <c r="Z16" s="93"/>
      <c r="AA16" s="93"/>
      <c r="AB16" s="93"/>
      <c r="AC16" s="2"/>
    </row>
    <row r="17" ht="16" customHeight="1" hidden="1" spans="1:29" x14ac:dyDescent="0.25">
      <c r="A17" s="101"/>
      <c r="B17" s="101"/>
      <c r="C17" s="101"/>
      <c r="D17" s="101"/>
      <c r="E17" s="101"/>
      <c r="F17" s="101"/>
      <c r="G17" s="61"/>
      <c r="H17" s="90">
        <v>0</v>
      </c>
      <c r="I17" s="90">
        <v>0</v>
      </c>
      <c r="J17" s="90">
        <f>+H17+I17</f>
        <v>0</v>
      </c>
      <c r="K17" s="99"/>
      <c r="N17" s="86"/>
      <c r="O17" s="70"/>
      <c r="P17" s="102"/>
      <c r="Q17" s="80"/>
      <c r="R17" s="96"/>
      <c r="S17" s="69"/>
      <c r="T17" s="69"/>
      <c r="U17" s="69"/>
      <c r="V17" s="69"/>
      <c r="W17" s="69"/>
      <c r="X17" s="69"/>
      <c r="Y17" s="1"/>
      <c r="Z17" s="73"/>
      <c r="AA17" s="74"/>
      <c r="AB17" s="74"/>
      <c r="AC17" s="2"/>
    </row>
    <row r="18" ht="16" customHeight="1" hidden="1" spans="1:29" x14ac:dyDescent="0.25">
      <c r="A18" s="97"/>
      <c r="B18" s="97"/>
      <c r="C18" s="97"/>
      <c r="D18" s="101"/>
      <c r="E18" s="101"/>
      <c r="F18" s="101"/>
      <c r="G18" s="61"/>
      <c r="H18" s="90">
        <v>0</v>
      </c>
      <c r="I18" s="90">
        <v>0</v>
      </c>
      <c r="J18" s="90">
        <f>+H18+I18</f>
        <v>0</v>
      </c>
      <c r="K18" s="99"/>
      <c r="N18" s="86"/>
      <c r="O18" s="70"/>
      <c r="P18" s="100"/>
      <c r="Q18" s="80"/>
      <c r="R18" s="78"/>
      <c r="S18" s="69"/>
      <c r="T18" s="69"/>
      <c r="U18" s="69"/>
      <c r="V18" s="69"/>
      <c r="W18" s="69"/>
      <c r="X18" s="69"/>
      <c r="Y18" s="66"/>
      <c r="Z18" s="73"/>
      <c r="AB18" s="94"/>
      <c r="AC18" s="2"/>
    </row>
    <row r="19" ht="16" customHeight="1" hidden="1" spans="1:29" x14ac:dyDescent="0.25">
      <c r="A19" s="101"/>
      <c r="B19" s="101"/>
      <c r="C19" s="101"/>
      <c r="D19" s="101"/>
      <c r="E19" s="101"/>
      <c r="F19" s="101"/>
      <c r="G19" s="84">
        <f>SUBTOTAL(9,G16:G18)</f>
        <v>0</v>
      </c>
      <c r="H19" s="95">
        <f>SUBTOTAL(9,H16:H18)</f>
        <v>0</v>
      </c>
      <c r="I19" s="95">
        <v>0</v>
      </c>
      <c r="J19" s="95">
        <f>SUBTOTAL(9,J16:J18)</f>
        <v>0</v>
      </c>
      <c r="K19" s="99"/>
      <c r="N19" s="86"/>
      <c r="O19" s="70"/>
      <c r="P19" s="100"/>
      <c r="Q19" s="80"/>
      <c r="R19" s="81"/>
      <c r="Y19" s="66"/>
      <c r="Z19" s="83"/>
      <c r="AC19" s="2"/>
    </row>
    <row r="20" ht="16" customHeight="1" spans="1:29" x14ac:dyDescent="0.25">
      <c r="A20" s="103"/>
      <c r="B20" s="104"/>
      <c r="C20" s="105"/>
      <c r="D20" s="103" t="s">
        <v>31</v>
      </c>
      <c r="E20" s="103"/>
      <c r="F20" s="103"/>
      <c r="G20" s="106">
        <f>SUBTOTAL(9,G7:G19)</f>
        <v>143060.51</v>
      </c>
      <c r="H20" s="107">
        <f>SUBTOTAL(9,H7:H19)</f>
        <v>24210.154944</v>
      </c>
      <c r="I20" s="90">
        <f>SUBTOTAL(9,I7:I19)</f>
        <v>137956.72</v>
      </c>
      <c r="J20" s="107">
        <f>SUBTOTAL(9,J7:J19)</f>
        <v>162166.87494399998</v>
      </c>
      <c r="K20" s="108">
        <f>J20/G20</f>
        <v>1.133554430527334</v>
      </c>
      <c r="N20" s="86"/>
      <c r="O20" s="70"/>
      <c r="P20" s="76" t="s">
        <v>34</v>
      </c>
      <c r="Q20" s="80">
        <f>Q14+Q15+Q9</f>
        <v>133202.19</v>
      </c>
      <c r="R20" s="81"/>
      <c r="S20" s="69"/>
      <c r="T20" s="69"/>
      <c r="U20" s="69"/>
      <c r="V20" s="69"/>
      <c r="W20" s="69"/>
      <c r="X20" s="69"/>
      <c r="Y20" s="66"/>
      <c r="Z20" s="73"/>
      <c r="AC20" s="2"/>
    </row>
    <row r="21" ht="19.5" customHeight="1" spans="7:29" x14ac:dyDescent="0.25">
      <c r="G21" s="61"/>
      <c r="H21" s="62"/>
      <c r="I21" s="90"/>
      <c r="J21" s="62"/>
      <c r="K21" s="64"/>
      <c r="N21" s="86"/>
      <c r="O21" s="70"/>
      <c r="P21" s="78"/>
      <c r="Q21" s="109"/>
      <c r="R21" s="81"/>
      <c r="S21" s="69"/>
      <c r="T21" s="69"/>
      <c r="U21" s="69"/>
      <c r="V21" s="69"/>
      <c r="W21" s="69"/>
      <c r="X21" s="69"/>
      <c r="Y21" s="66"/>
      <c r="Z21" s="92"/>
      <c r="AA21" s="92"/>
      <c r="AB21" s="92"/>
      <c r="AC21" s="2"/>
    </row>
    <row r="22" ht="19.25" customHeight="1" spans="1:29" x14ac:dyDescent="0.25">
      <c r="A22" s="110" t="s">
        <v>35</v>
      </c>
      <c r="B22" s="66"/>
      <c r="C22" s="66"/>
      <c r="G22" s="61"/>
      <c r="H22" s="62"/>
      <c r="I22" s="90"/>
      <c r="J22" s="62"/>
      <c r="K22" s="64"/>
      <c r="N22" s="86"/>
      <c r="O22" s="70"/>
      <c r="P22" s="78"/>
      <c r="Q22" s="109"/>
      <c r="R22" s="81"/>
      <c r="S22" s="69"/>
      <c r="T22" s="69"/>
      <c r="U22" s="69"/>
      <c r="V22" s="69"/>
      <c r="W22" s="69"/>
      <c r="X22" s="69"/>
      <c r="Y22" s="1"/>
      <c r="AC22" s="2"/>
    </row>
    <row r="23" ht="19.25" customHeight="1" spans="1:29" x14ac:dyDescent="0.25">
      <c r="A23" s="110"/>
      <c r="B23" s="111"/>
      <c r="C23" s="111"/>
      <c r="D23" s="112"/>
      <c r="G23" s="61">
        <v>1680</v>
      </c>
      <c r="H23" s="62">
        <v>350</v>
      </c>
      <c r="I23" s="90">
        <f t="shared" ref="I23:I30" si="1">+J23-H23</f>
        <v>0</v>
      </c>
      <c r="J23" s="62">
        <v>0</v>
      </c>
      <c r="K23" s="64"/>
      <c r="N23" s="69"/>
      <c r="O23" s="70"/>
      <c r="P23" s="72"/>
      <c r="Q23" s="6"/>
      <c r="R23" s="72"/>
      <c r="S23" s="69"/>
      <c r="T23" s="69"/>
      <c r="U23" s="69"/>
      <c r="V23" s="69"/>
      <c r="W23" s="69"/>
      <c r="X23" s="69"/>
      <c r="Y23" s="66"/>
      <c r="AC23" s="2"/>
    </row>
    <row r="24" ht="19.25" customHeight="1" spans="1:29" x14ac:dyDescent="0.25">
      <c r="A24" s="110"/>
      <c r="B24" s="111"/>
      <c r="C24" s="111"/>
      <c r="D24" s="112" t="s">
        <v>36</v>
      </c>
      <c r="E24" s="1" t="s">
        <v>37</v>
      </c>
      <c r="F24" s="1" t="s">
        <v>38</v>
      </c>
      <c r="G24" s="61"/>
      <c r="H24" s="62">
        <v>220</v>
      </c>
      <c r="I24" s="113">
        <v>1924</v>
      </c>
      <c r="J24" s="114">
        <f>H24+I24</f>
        <v>1924</v>
      </c>
      <c r="K24" s="64"/>
      <c r="N24" s="69"/>
      <c r="O24" s="70"/>
      <c r="P24" s="72"/>
      <c r="Q24" s="6"/>
      <c r="R24" s="72"/>
      <c r="S24" s="69"/>
      <c r="T24" s="69"/>
      <c r="U24" s="69"/>
      <c r="V24" s="69"/>
      <c r="W24" s="69"/>
      <c r="X24" s="69"/>
      <c r="Y24" s="1"/>
      <c r="AC24" s="2"/>
    </row>
    <row r="25" ht="19.25" customHeight="1" spans="1:29" x14ac:dyDescent="0.25">
      <c r="A25" s="110"/>
      <c r="B25" s="111"/>
      <c r="C25" s="111"/>
      <c r="D25" s="112" t="s">
        <v>39</v>
      </c>
      <c r="E25" s="1" t="s">
        <v>40</v>
      </c>
      <c r="F25" s="1" t="s">
        <v>38</v>
      </c>
      <c r="G25" s="61"/>
      <c r="H25" s="62">
        <v>0</v>
      </c>
      <c r="I25" s="113">
        <v>1776</v>
      </c>
      <c r="J25" s="114">
        <f>H25+I25</f>
        <v>1776</v>
      </c>
      <c r="K25" s="64"/>
      <c r="N25" s="69"/>
      <c r="O25" s="70"/>
      <c r="P25" s="72"/>
      <c r="Q25" s="6"/>
      <c r="R25" s="72"/>
      <c r="S25" s="69"/>
      <c r="T25" s="69"/>
      <c r="U25" s="69"/>
      <c r="V25" s="69"/>
      <c r="W25" s="69"/>
      <c r="X25" s="69"/>
      <c r="Y25" s="1"/>
      <c r="Z25" s="65"/>
      <c r="AA25" s="65"/>
      <c r="AB25" s="65"/>
      <c r="AC25" s="2"/>
    </row>
    <row r="26" ht="19.25" customHeight="1" spans="1:29" x14ac:dyDescent="0.25">
      <c r="A26" s="110"/>
      <c r="B26" s="111"/>
      <c r="C26" s="111"/>
      <c r="G26" s="61"/>
      <c r="H26" s="62">
        <v>0</v>
      </c>
      <c r="I26" s="113">
        <f t="shared" si="1"/>
        <v>0</v>
      </c>
      <c r="J26" s="114">
        <v>0</v>
      </c>
      <c r="K26" s="64"/>
      <c r="N26" s="69"/>
      <c r="O26" s="70"/>
      <c r="P26" s="72"/>
      <c r="Q26" s="6"/>
      <c r="R26" s="72"/>
      <c r="S26" s="69"/>
      <c r="T26" s="69"/>
      <c r="U26" s="69"/>
      <c r="V26" s="69"/>
      <c r="W26" s="69"/>
      <c r="X26" s="69"/>
      <c r="Y26" s="1"/>
      <c r="AC26" s="2"/>
    </row>
    <row r="27" ht="20" customHeight="1" hidden="1" spans="2:29" x14ac:dyDescent="0.25">
      <c r="B27" s="115" t="s">
        <v>41</v>
      </c>
      <c r="C27" s="115"/>
      <c r="D27" s="101">
        <v>0</v>
      </c>
      <c r="E27" s="101" t="s">
        <v>42</v>
      </c>
      <c r="F27" s="116">
        <v>0</v>
      </c>
      <c r="G27" s="61">
        <f>F27*D27</f>
        <v>0</v>
      </c>
      <c r="H27" s="62">
        <v>0</v>
      </c>
      <c r="I27" s="113">
        <f t="shared" si="1"/>
        <v>0</v>
      </c>
      <c r="J27" s="114">
        <v>0</v>
      </c>
      <c r="K27" s="64"/>
      <c r="N27" s="69"/>
      <c r="O27" s="70"/>
      <c r="P27" s="72"/>
      <c r="Q27" s="6"/>
      <c r="R27" s="72"/>
      <c r="S27" s="69"/>
      <c r="T27" s="69"/>
      <c r="U27" s="69"/>
      <c r="V27" s="69"/>
      <c r="W27" s="69"/>
      <c r="X27" s="69"/>
      <c r="Y27" s="66"/>
      <c r="AC27" s="2"/>
    </row>
    <row r="28" ht="19.25" customHeight="1" hidden="1" spans="2:29" x14ac:dyDescent="0.25">
      <c r="B28" s="115" t="s">
        <v>43</v>
      </c>
      <c r="C28" s="115"/>
      <c r="D28" s="101">
        <v>0</v>
      </c>
      <c r="E28" s="101" t="s">
        <v>44</v>
      </c>
      <c r="F28" s="101">
        <v>0</v>
      </c>
      <c r="G28" s="61">
        <f>F28*D28</f>
        <v>0</v>
      </c>
      <c r="H28" s="62">
        <v>0</v>
      </c>
      <c r="I28" s="113">
        <f t="shared" si="1"/>
        <v>0</v>
      </c>
      <c r="J28" s="114">
        <v>0</v>
      </c>
      <c r="K28" s="64"/>
      <c r="N28" s="69"/>
      <c r="O28" s="70"/>
      <c r="P28" s="72"/>
      <c r="Q28" s="6"/>
      <c r="R28" s="72"/>
      <c r="S28" s="69"/>
      <c r="T28" s="69"/>
      <c r="U28" s="69"/>
      <c r="V28" s="69"/>
      <c r="W28" s="69"/>
      <c r="X28" s="69"/>
      <c r="Y28" s="111"/>
      <c r="Z28" s="112"/>
      <c r="AC28" s="2"/>
    </row>
    <row r="29" ht="19.25" customHeight="1" hidden="1" spans="2:29" x14ac:dyDescent="0.25">
      <c r="B29" s="115" t="s">
        <v>45</v>
      </c>
      <c r="C29" s="115"/>
      <c r="D29" s="101">
        <v>0</v>
      </c>
      <c r="E29" s="101" t="s">
        <v>46</v>
      </c>
      <c r="F29" s="101">
        <v>0</v>
      </c>
      <c r="G29" s="61">
        <f>F29*D29</f>
        <v>0</v>
      </c>
      <c r="H29" s="62">
        <v>0</v>
      </c>
      <c r="I29" s="113">
        <f t="shared" si="1"/>
        <v>0</v>
      </c>
      <c r="J29" s="114">
        <v>0</v>
      </c>
      <c r="K29" s="64"/>
      <c r="N29" s="69"/>
      <c r="O29" s="70"/>
      <c r="P29" s="72"/>
      <c r="Q29" s="6"/>
      <c r="R29" s="72"/>
      <c r="S29" s="69"/>
      <c r="T29" s="69"/>
      <c r="U29" s="69"/>
      <c r="V29" s="69"/>
      <c r="W29" s="69"/>
      <c r="X29" s="69"/>
      <c r="Y29" s="111"/>
      <c r="Z29" s="112"/>
      <c r="AC29" s="2"/>
    </row>
    <row r="30" ht="19.5" customHeight="1" hidden="1" spans="2:29" x14ac:dyDescent="0.25">
      <c r="B30" s="115" t="s">
        <v>47</v>
      </c>
      <c r="C30" s="115"/>
      <c r="D30" s="101">
        <v>0</v>
      </c>
      <c r="E30" s="101" t="s">
        <v>46</v>
      </c>
      <c r="F30" s="101">
        <v>0</v>
      </c>
      <c r="G30" s="61">
        <f>F30*D30</f>
        <v>0</v>
      </c>
      <c r="H30" s="62">
        <v>0</v>
      </c>
      <c r="I30" s="113">
        <f t="shared" si="1"/>
        <v>0</v>
      </c>
      <c r="J30" s="114">
        <v>0</v>
      </c>
      <c r="K30" s="64"/>
      <c r="N30" s="69"/>
      <c r="O30" s="70"/>
      <c r="P30" s="72"/>
      <c r="Q30" s="6"/>
      <c r="R30" s="72"/>
      <c r="S30" s="69"/>
      <c r="T30" s="69"/>
      <c r="U30" s="69"/>
      <c r="V30" s="69"/>
      <c r="W30" s="69"/>
      <c r="X30" s="69"/>
      <c r="Y30" s="111"/>
      <c r="Z30" s="112"/>
      <c r="AC30" s="2"/>
    </row>
    <row r="31" ht="19.5" customHeight="1" spans="1:29" x14ac:dyDescent="0.25">
      <c r="A31" s="103"/>
      <c r="B31" s="117"/>
      <c r="C31" s="117"/>
      <c r="D31" s="103" t="s">
        <v>48</v>
      </c>
      <c r="E31" s="103"/>
      <c r="F31" s="103"/>
      <c r="G31" s="106">
        <f>SUBTOTAL(9,G22:G30)</f>
        <v>1680</v>
      </c>
      <c r="H31" s="107">
        <f>SUBTOTAL(9,H22:H30)</f>
        <v>0</v>
      </c>
      <c r="I31" s="113">
        <f>SUBTOTAL(9,I22:I30)</f>
        <v>3700</v>
      </c>
      <c r="J31" s="118">
        <f>SUBTOTAL(9,J22:J30)</f>
        <v>3700</v>
      </c>
      <c r="K31" s="119">
        <f>H31/G31</f>
        <v>0</v>
      </c>
      <c r="N31" s="69"/>
      <c r="O31" s="70"/>
      <c r="P31" s="72"/>
      <c r="Q31" s="6"/>
      <c r="R31" s="72"/>
      <c r="S31" s="69"/>
      <c r="T31" s="69"/>
      <c r="U31" s="69"/>
      <c r="V31" s="69"/>
      <c r="W31" s="69"/>
      <c r="X31" s="69"/>
      <c r="Y31" s="111"/>
      <c r="AC31" s="2"/>
    </row>
    <row r="32" ht="19.5" customHeight="1" spans="1:29" x14ac:dyDescent="0.25">
      <c r="A32" s="58" t="s">
        <v>49</v>
      </c>
      <c r="G32" s="61"/>
      <c r="H32" s="62"/>
      <c r="I32" s="113"/>
      <c r="J32" s="114"/>
      <c r="K32" s="64"/>
      <c r="N32" s="86"/>
      <c r="O32" s="70"/>
      <c r="P32" s="72"/>
      <c r="Q32" s="6"/>
      <c r="R32" s="72"/>
      <c r="S32" s="69"/>
      <c r="T32" s="69"/>
      <c r="U32" s="69"/>
      <c r="V32" s="69"/>
      <c r="W32" s="69"/>
      <c r="X32" s="69"/>
      <c r="Y32" s="111"/>
      <c r="AB32" s="120"/>
      <c r="AC32" s="2"/>
    </row>
    <row r="33" ht="15" customHeight="1" hidden="1" spans="1:29" x14ac:dyDescent="0.25">
      <c r="A33" s="101"/>
      <c r="B33" s="101"/>
      <c r="C33" s="101"/>
      <c r="D33" s="101"/>
      <c r="E33" s="101"/>
      <c r="F33" s="101"/>
      <c r="G33" s="61"/>
      <c r="H33" s="121"/>
      <c r="I33" s="122">
        <v>0</v>
      </c>
      <c r="J33" s="122">
        <f>SUM(H33:I33)</f>
        <v>0</v>
      </c>
      <c r="K33" s="99"/>
      <c r="N33" s="86"/>
      <c r="O33" s="70"/>
      <c r="P33" s="72"/>
      <c r="Q33" s="6"/>
      <c r="R33" s="72"/>
      <c r="S33" s="69"/>
      <c r="T33" s="69"/>
      <c r="U33" s="69"/>
      <c r="V33" s="69"/>
      <c r="W33" s="69"/>
      <c r="X33" s="69"/>
      <c r="Y33" s="111"/>
      <c r="AC33" s="2"/>
    </row>
    <row r="34" ht="15" customHeight="1" hidden="1" spans="1:29" x14ac:dyDescent="0.25">
      <c r="A34" s="101"/>
      <c r="B34" s="101"/>
      <c r="C34" s="101"/>
      <c r="D34" s="101"/>
      <c r="E34" s="101"/>
      <c r="F34" s="101"/>
      <c r="G34" s="61"/>
      <c r="H34" s="121"/>
      <c r="I34" s="122">
        <v>0</v>
      </c>
      <c r="J34" s="122">
        <f>SUM(H34:I34)</f>
        <v>0</v>
      </c>
      <c r="K34" s="99"/>
      <c r="N34" s="86"/>
      <c r="O34" s="70"/>
      <c r="P34" s="72"/>
      <c r="Q34" s="6"/>
      <c r="R34" s="72"/>
      <c r="S34" s="69"/>
      <c r="T34" s="69"/>
      <c r="U34" s="69"/>
      <c r="V34" s="69"/>
      <c r="W34" s="69"/>
      <c r="X34" s="69"/>
      <c r="Y34" s="111"/>
      <c r="AC34" s="2"/>
    </row>
    <row r="35" ht="15" customHeight="1" hidden="1" spans="1:29" x14ac:dyDescent="0.25">
      <c r="A35" s="101"/>
      <c r="B35" s="101"/>
      <c r="C35" s="101"/>
      <c r="D35" s="101"/>
      <c r="E35" s="101"/>
      <c r="F35" s="101"/>
      <c r="G35" s="61"/>
      <c r="H35" s="121"/>
      <c r="I35" s="122">
        <v>0</v>
      </c>
      <c r="J35" s="122">
        <f>SUM(H35:I35)</f>
        <v>0</v>
      </c>
      <c r="K35" s="99"/>
      <c r="N35" s="86"/>
      <c r="O35" s="70"/>
      <c r="P35" s="72"/>
      <c r="Q35" s="6"/>
      <c r="R35" s="72"/>
      <c r="S35" s="69"/>
      <c r="T35" s="69"/>
      <c r="U35" s="69"/>
      <c r="V35" s="69"/>
      <c r="W35" s="69"/>
      <c r="X35" s="69"/>
      <c r="Y35" s="111"/>
      <c r="AC35" s="2"/>
    </row>
    <row r="36" ht="15" customHeight="1" hidden="1" spans="1:29" x14ac:dyDescent="0.25">
      <c r="A36" s="101"/>
      <c r="B36" s="101"/>
      <c r="C36" s="101"/>
      <c r="D36" s="101"/>
      <c r="E36" s="101"/>
      <c r="F36" s="101"/>
      <c r="G36" s="61"/>
      <c r="H36" s="121"/>
      <c r="I36" s="122">
        <v>0</v>
      </c>
      <c r="J36" s="122">
        <f>SUM(H36:I36)</f>
        <v>0</v>
      </c>
      <c r="K36" s="99"/>
      <c r="N36" s="86"/>
      <c r="O36" s="70"/>
      <c r="P36" s="72"/>
      <c r="Q36" s="6"/>
      <c r="R36" s="72"/>
      <c r="S36" s="69"/>
      <c r="T36" s="69"/>
      <c r="U36" s="69"/>
      <c r="V36" s="69"/>
      <c r="W36" s="69"/>
      <c r="X36" s="69"/>
      <c r="Y36" s="66"/>
      <c r="Z36" s="65"/>
      <c r="AA36" s="65"/>
      <c r="AB36" s="65"/>
      <c r="AC36" s="2"/>
    </row>
    <row r="37" ht="15" customHeight="1" spans="1:29" x14ac:dyDescent="0.25">
      <c r="A37" s="103"/>
      <c r="B37" s="104"/>
      <c r="C37" s="117"/>
      <c r="D37" s="103" t="s">
        <v>50</v>
      </c>
      <c r="E37" s="103"/>
      <c r="F37" s="103"/>
      <c r="G37" s="106">
        <f>SUBTOTAL(9,G33:G36)</f>
        <v>0</v>
      </c>
      <c r="H37" s="106">
        <f>SUBTOTAL(9,H33:H36)</f>
        <v>0</v>
      </c>
      <c r="I37" s="122">
        <f>SUBTOTAL(9,I33:I36)</f>
        <v>0</v>
      </c>
      <c r="J37" s="118">
        <f>SUBTOTAL(9,J33:J36)</f>
        <v>0</v>
      </c>
      <c r="K37" s="108"/>
      <c r="N37" s="86"/>
      <c r="O37" s="70"/>
      <c r="P37" s="72"/>
      <c r="Q37" s="6"/>
      <c r="R37" s="72"/>
      <c r="S37" s="69"/>
      <c r="T37" s="69"/>
      <c r="U37" s="69"/>
      <c r="V37" s="69"/>
      <c r="W37" s="69"/>
      <c r="X37" s="69"/>
      <c r="Y37" s="1"/>
      <c r="AC37" s="2"/>
    </row>
    <row r="38" ht="15" customHeight="1" hidden="1" spans="1:29" x14ac:dyDescent="0.25">
      <c r="A38" s="123" t="s">
        <v>51</v>
      </c>
      <c r="B38" s="124"/>
      <c r="C38" s="97"/>
      <c r="D38" s="101"/>
      <c r="E38" s="101"/>
      <c r="F38" s="101"/>
      <c r="G38" s="61"/>
      <c r="H38" s="121"/>
      <c r="I38" s="122"/>
      <c r="J38" s="113"/>
      <c r="K38" s="99"/>
      <c r="N38" s="86"/>
      <c r="O38" s="70"/>
      <c r="P38" s="72"/>
      <c r="Q38" s="6"/>
      <c r="R38" s="72"/>
      <c r="S38" s="69"/>
      <c r="T38" s="69"/>
      <c r="U38" s="69"/>
      <c r="V38" s="69"/>
      <c r="W38" s="69"/>
      <c r="X38" s="69"/>
      <c r="Y38" s="1"/>
      <c r="AC38" s="2"/>
    </row>
    <row r="39" ht="15" customHeight="1" hidden="1" spans="1:29" x14ac:dyDescent="0.25">
      <c r="A39" s="124"/>
      <c r="B39" s="97" t="s">
        <v>52</v>
      </c>
      <c r="C39" s="97"/>
      <c r="D39" s="101"/>
      <c r="E39" s="125">
        <v>0</v>
      </c>
      <c r="F39" s="101"/>
      <c r="G39" s="61">
        <f>(G20+G37)*E39</f>
        <v>0</v>
      </c>
      <c r="H39" s="121">
        <v>0</v>
      </c>
      <c r="I39" s="122">
        <v>0</v>
      </c>
      <c r="J39" s="113">
        <f>H39+I39</f>
        <v>0</v>
      </c>
      <c r="K39" s="99"/>
      <c r="N39" s="86"/>
      <c r="O39" s="70"/>
      <c r="P39" s="72"/>
      <c r="Q39" s="6"/>
      <c r="R39" s="72"/>
      <c r="S39" s="69"/>
      <c r="T39" s="69"/>
      <c r="U39" s="69"/>
      <c r="V39" s="69"/>
      <c r="W39" s="69"/>
      <c r="X39" s="69"/>
      <c r="Y39" s="1"/>
      <c r="AC39" s="2"/>
    </row>
    <row r="40" ht="15" customHeight="1" hidden="1" spans="1:29" x14ac:dyDescent="0.25">
      <c r="A40" s="124"/>
      <c r="B40" s="124"/>
      <c r="C40" s="97"/>
      <c r="D40" s="101"/>
      <c r="E40" s="101"/>
      <c r="F40" s="101"/>
      <c r="G40" s="61"/>
      <c r="H40" s="121"/>
      <c r="I40" s="122"/>
      <c r="J40" s="113"/>
      <c r="K40" s="99"/>
      <c r="N40" s="86"/>
      <c r="O40" s="70"/>
      <c r="P40" s="72"/>
      <c r="Q40" s="6"/>
      <c r="R40" s="72"/>
      <c r="S40" s="69"/>
      <c r="T40" s="69"/>
      <c r="U40" s="69"/>
      <c r="V40" s="69"/>
      <c r="W40" s="69"/>
      <c r="X40" s="69"/>
      <c r="Y40" s="1"/>
      <c r="AC40" s="2"/>
    </row>
    <row r="41" ht="15" customHeight="1" hidden="1" spans="1:29" x14ac:dyDescent="0.25">
      <c r="A41" s="105"/>
      <c r="B41" s="126"/>
      <c r="C41" s="126"/>
      <c r="D41" s="103" t="s">
        <v>53</v>
      </c>
      <c r="E41" s="103"/>
      <c r="F41" s="103"/>
      <c r="G41" s="61">
        <f>SUBTOTAL(9,G39:G40)</f>
        <v>0</v>
      </c>
      <c r="H41" s="106">
        <f>SUBTOTAL(9,H39:H40)</f>
        <v>0</v>
      </c>
      <c r="I41" s="122">
        <v>0</v>
      </c>
      <c r="J41" s="118">
        <f>SUBTOTAL(9,J39:J40)</f>
        <v>0</v>
      </c>
      <c r="K41" s="108" t="e">
        <f>J41/G41</f>
        <v>#DIV/0!</v>
      </c>
      <c r="N41" s="86"/>
      <c r="O41" s="70"/>
      <c r="P41" s="72"/>
      <c r="Q41" s="6"/>
      <c r="R41" s="72"/>
      <c r="S41" s="69"/>
      <c r="T41" s="69"/>
      <c r="U41" s="69"/>
      <c r="V41" s="69"/>
      <c r="W41" s="69"/>
      <c r="X41" s="69"/>
      <c r="Y41" s="1"/>
      <c r="AC41" s="2"/>
    </row>
    <row r="42" ht="15" customHeight="1" spans="1:29" x14ac:dyDescent="0.25">
      <c r="A42" s="110" t="s">
        <v>54</v>
      </c>
      <c r="C42" s="94"/>
      <c r="D42" s="94"/>
      <c r="E42" s="127"/>
      <c r="F42" s="94"/>
      <c r="G42" s="61"/>
      <c r="H42" s="128"/>
      <c r="I42" s="122"/>
      <c r="J42" s="114"/>
      <c r="K42" s="64"/>
      <c r="N42" s="86"/>
      <c r="O42" s="70"/>
      <c r="P42" s="72"/>
      <c r="Q42" s="6"/>
      <c r="R42" s="72"/>
      <c r="S42" s="69"/>
      <c r="T42" s="69"/>
      <c r="U42" s="69"/>
      <c r="V42" s="69"/>
      <c r="W42" s="69"/>
      <c r="X42" s="69"/>
      <c r="Y42" s="66"/>
      <c r="Z42" s="65"/>
      <c r="AA42" s="65"/>
      <c r="AB42" s="65"/>
      <c r="AC42" s="2"/>
    </row>
    <row r="43" ht="15" customHeight="1" spans="2:29" x14ac:dyDescent="0.25">
      <c r="B43" s="66" t="s">
        <v>55</v>
      </c>
      <c r="C43" s="66"/>
      <c r="D43" s="66"/>
      <c r="E43" s="73">
        <v>0.08</v>
      </c>
      <c r="F43" s="94"/>
      <c r="G43" s="61">
        <f>G20*E43</f>
        <v>11444.840800000002</v>
      </c>
      <c r="H43" s="128">
        <v>2058.28</v>
      </c>
      <c r="I43" s="113">
        <v>11036.54</v>
      </c>
      <c r="J43" s="114">
        <f>H43+I43</f>
        <v>12973.352395520002</v>
      </c>
      <c r="K43" s="64"/>
      <c r="N43" s="69"/>
      <c r="O43" s="70"/>
      <c r="P43" s="72"/>
      <c r="Q43" s="6"/>
      <c r="R43" s="72"/>
      <c r="S43" s="69"/>
      <c r="T43" s="69"/>
      <c r="U43" s="69"/>
      <c r="V43" s="69"/>
      <c r="W43" s="69"/>
      <c r="X43" s="69"/>
      <c r="Y43" s="66"/>
      <c r="AC43" s="2"/>
    </row>
    <row r="44" ht="15" customHeight="1" hidden="1" spans="1:29" x14ac:dyDescent="0.25">
      <c r="A44" s="101"/>
      <c r="B44" s="97" t="s">
        <v>56</v>
      </c>
      <c r="C44" s="97"/>
      <c r="D44" s="97"/>
      <c r="E44" s="129">
        <v>0.02</v>
      </c>
      <c r="F44" s="130"/>
      <c r="G44" s="61">
        <f>ROUND(G37*$E44,2)</f>
        <v>0</v>
      </c>
      <c r="H44" s="121">
        <v>0</v>
      </c>
      <c r="I44" s="122">
        <v>0</v>
      </c>
      <c r="J44" s="122">
        <f>+H44+I44</f>
        <v>0</v>
      </c>
      <c r="K44" s="99"/>
      <c r="N44" s="69"/>
      <c r="O44" s="70"/>
      <c r="P44" s="72"/>
      <c r="Q44" s="6"/>
      <c r="R44" s="72"/>
      <c r="S44" s="69"/>
      <c r="T44" s="69"/>
      <c r="U44" s="69"/>
      <c r="V44" s="69"/>
      <c r="W44" s="69"/>
      <c r="X44" s="69"/>
      <c r="Y44" s="66"/>
      <c r="AA44" s="131"/>
      <c r="AC44" s="2"/>
    </row>
    <row r="45" ht="15" customHeight="1" hidden="1" spans="1:29" x14ac:dyDescent="0.25">
      <c r="A45" s="101"/>
      <c r="B45" s="97"/>
      <c r="C45" s="97"/>
      <c r="D45" s="97"/>
      <c r="E45" s="129"/>
      <c r="F45" s="130"/>
      <c r="G45" s="61"/>
      <c r="H45" s="90"/>
      <c r="I45" s="113"/>
      <c r="J45" s="113"/>
      <c r="K45" s="99"/>
      <c r="N45" s="69"/>
      <c r="O45" s="70"/>
      <c r="P45" s="72"/>
      <c r="Q45" s="6"/>
      <c r="R45" s="72"/>
      <c r="S45" s="69"/>
      <c r="T45" s="69"/>
      <c r="U45" s="69"/>
      <c r="V45" s="69"/>
      <c r="W45" s="69"/>
      <c r="X45" s="69"/>
      <c r="Y45" s="66"/>
      <c r="AC45" s="2"/>
    </row>
    <row r="46" ht="15" customHeight="1" spans="2:29" x14ac:dyDescent="0.25">
      <c r="B46" s="132" t="s">
        <v>57</v>
      </c>
      <c r="D46" s="66"/>
      <c r="E46" s="66"/>
      <c r="G46" s="61"/>
      <c r="H46" s="62"/>
      <c r="I46" s="113"/>
      <c r="J46" s="114"/>
      <c r="K46" s="64"/>
      <c r="N46" s="69"/>
      <c r="O46" s="70"/>
      <c r="P46" s="72"/>
      <c r="Q46" s="6"/>
      <c r="R46" s="72"/>
      <c r="S46" s="69"/>
      <c r="T46" s="69"/>
      <c r="U46" s="69"/>
      <c r="V46" s="69"/>
      <c r="W46" s="69"/>
      <c r="X46" s="69"/>
      <c r="Y46" s="94"/>
      <c r="Z46" s="65"/>
      <c r="AA46" s="65"/>
      <c r="AB46" s="65"/>
      <c r="AC46" s="2"/>
    </row>
    <row r="47" ht="19.5" customHeight="1" spans="1:29" x14ac:dyDescent="0.25">
      <c r="A47" s="103"/>
      <c r="B47" s="104"/>
      <c r="C47" s="117"/>
      <c r="D47" s="103" t="s">
        <v>58</v>
      </c>
      <c r="E47" s="103"/>
      <c r="F47" s="103"/>
      <c r="G47" s="106">
        <f>SUBTOTAL(9,G42:G46)</f>
        <v>11444.840800000002</v>
      </c>
      <c r="H47" s="107">
        <f>SUBTOTAL(9,H42:H46)</f>
        <v>1936.81239552</v>
      </c>
      <c r="I47" s="113">
        <f>SUBTOTAL(9,I42:I46)</f>
        <v>11036.54</v>
      </c>
      <c r="J47" s="118">
        <f>SUBTOTAL(9,J42:J46)</f>
        <v>12973.352395520002</v>
      </c>
      <c r="K47" s="108">
        <f>J47/G47</f>
        <v>1.1335546402288095</v>
      </c>
      <c r="M47" s="91"/>
      <c r="N47" s="86"/>
      <c r="O47" s="70"/>
      <c r="P47" s="72"/>
      <c r="Q47" s="6"/>
      <c r="R47" s="72"/>
      <c r="S47" s="69"/>
      <c r="T47" s="69"/>
      <c r="U47" s="69"/>
      <c r="V47" s="69"/>
      <c r="W47" s="69"/>
      <c r="X47" s="69"/>
      <c r="Y47" s="94"/>
      <c r="Z47" s="94"/>
      <c r="AA47" s="127"/>
      <c r="AB47" s="94"/>
      <c r="AC47" s="2"/>
    </row>
    <row r="48" ht="19.5" customHeight="1" spans="1:29" x14ac:dyDescent="0.25">
      <c r="A48" s="65"/>
      <c r="B48" s="111" t="s">
        <v>59</v>
      </c>
      <c r="C48" s="111"/>
      <c r="D48" s="111"/>
      <c r="E48" s="73">
        <v>0.0039</v>
      </c>
      <c r="F48" s="133"/>
      <c r="G48" s="61">
        <f>G7*0.0013</f>
        <v>0</v>
      </c>
      <c r="H48" s="62">
        <v>56.58</v>
      </c>
      <c r="I48" s="90">
        <f t="shared" ref="I48" si="2">+J48-H48</f>
        <v>0</v>
      </c>
      <c r="J48" s="62">
        <f>+N48</f>
        <v>0</v>
      </c>
      <c r="K48" s="134"/>
      <c r="N48" s="69"/>
      <c r="O48" s="70"/>
      <c r="P48" s="72"/>
      <c r="Q48" s="6"/>
      <c r="R48" s="72"/>
      <c r="S48" s="69"/>
      <c r="T48" s="69"/>
      <c r="U48" s="69"/>
      <c r="V48" s="69"/>
      <c r="W48" s="69"/>
      <c r="X48" s="69"/>
      <c r="Y48" s="66"/>
      <c r="Z48" s="66"/>
      <c r="AA48" s="73"/>
      <c r="AB48" s="94"/>
      <c r="AC48" s="2"/>
    </row>
    <row r="49" ht="15" customHeight="1" spans="2:29" x14ac:dyDescent="0.25">
      <c r="B49" s="111" t="s">
        <v>60</v>
      </c>
      <c r="C49" s="111"/>
      <c r="D49" s="111"/>
      <c r="E49" s="73">
        <f>E48</f>
        <v>0.0039</v>
      </c>
      <c r="F49" s="133"/>
      <c r="G49" s="61">
        <f>G11*0</f>
        <v>0</v>
      </c>
      <c r="H49" s="62">
        <v>72.06</v>
      </c>
      <c r="I49" s="90">
        <v>0</v>
      </c>
      <c r="J49" s="114">
        <f>H49+I49</f>
        <v>42.81</v>
      </c>
      <c r="K49" s="64"/>
      <c r="N49" s="69"/>
      <c r="O49" s="70"/>
      <c r="P49" s="72"/>
      <c r="Q49" s="6"/>
      <c r="R49" s="72"/>
      <c r="S49" s="69"/>
      <c r="T49" s="69"/>
      <c r="U49" s="69"/>
      <c r="V49" s="69"/>
      <c r="W49" s="69"/>
      <c r="X49" s="69"/>
      <c r="Y49" s="66"/>
      <c r="Z49" s="66"/>
      <c r="AA49" s="73"/>
      <c r="AB49" s="94"/>
      <c r="AC49" s="2"/>
    </row>
    <row r="50" ht="15" customHeight="1" hidden="1" spans="2:29" x14ac:dyDescent="0.25">
      <c r="B50" s="66" t="s">
        <v>61</v>
      </c>
      <c r="C50" s="66"/>
      <c r="D50" s="66"/>
      <c r="E50" s="66"/>
      <c r="F50" s="135"/>
      <c r="G50" s="75"/>
      <c r="H50" s="62">
        <v>0</v>
      </c>
      <c r="I50" s="90">
        <v>0</v>
      </c>
      <c r="J50" s="62">
        <f t="shared" ref="J50" si="3">SUM(H50:I50)</f>
        <v>0</v>
      </c>
      <c r="K50" s="64"/>
      <c r="N50" s="69"/>
      <c r="O50" s="70"/>
      <c r="P50" s="72"/>
      <c r="Q50" s="6"/>
      <c r="R50" s="72"/>
      <c r="S50" s="69"/>
      <c r="T50" s="69"/>
      <c r="U50" s="69"/>
      <c r="V50" s="69"/>
      <c r="W50" s="69"/>
      <c r="X50" s="69"/>
      <c r="Y50" s="66"/>
      <c r="Z50" s="66"/>
      <c r="AA50" s="73"/>
      <c r="AB50" s="94"/>
      <c r="AC50" s="2"/>
    </row>
    <row r="51" ht="15" customHeight="1" spans="1:29" x14ac:dyDescent="0.25">
      <c r="A51" s="103"/>
      <c r="B51" s="117"/>
      <c r="C51" s="104"/>
      <c r="D51" s="103" t="s">
        <v>62</v>
      </c>
      <c r="E51" s="103"/>
      <c r="F51" s="126"/>
      <c r="G51" s="136">
        <v>250000</v>
      </c>
      <c r="H51" s="137">
        <v>28485.37</v>
      </c>
      <c r="I51" s="138">
        <v>42000</v>
      </c>
      <c r="J51" s="137">
        <v>70485.37</v>
      </c>
      <c r="K51" s="139">
        <f>J51/G51</f>
        <v>1.145325322914471</v>
      </c>
      <c r="N51" s="140"/>
      <c r="O51" s="70"/>
      <c r="P51" s="141"/>
      <c r="Q51" s="142"/>
      <c r="R51" s="143"/>
      <c r="S51" s="86"/>
      <c r="T51" s="86"/>
      <c r="U51" s="86"/>
      <c r="V51" s="86"/>
      <c r="W51" s="86"/>
      <c r="X51" s="86"/>
      <c r="Y51" s="1"/>
      <c r="Z51" s="66"/>
      <c r="AA51" s="66"/>
      <c r="AC51" s="2"/>
    </row>
    <row r="52" ht="19.5" customHeight="1" spans="4:29" x14ac:dyDescent="0.25">
      <c r="D52" s="65" t="s">
        <v>63</v>
      </c>
      <c r="E52" s="65"/>
      <c r="F52" s="65"/>
      <c r="G52" s="144">
        <f>G51-J51</f>
        <v>-22697.686539519957</v>
      </c>
      <c r="N52" s="145"/>
      <c r="O52" s="55"/>
      <c r="P52" s="72"/>
      <c r="Q52" s="57"/>
      <c r="R52" s="72"/>
      <c r="S52" s="69"/>
      <c r="T52" s="69"/>
      <c r="U52" s="69"/>
      <c r="V52" s="69"/>
      <c r="W52" s="69"/>
      <c r="X52" s="69"/>
      <c r="Y52" s="66"/>
      <c r="Z52" s="65"/>
      <c r="AA52" s="65"/>
      <c r="AB52" s="65"/>
      <c r="AC52" s="2"/>
    </row>
    <row r="53" ht="14" customHeight="1" spans="6:29" x14ac:dyDescent="0.25">
      <c r="F53" s="94"/>
      <c r="M53" s="146"/>
      <c r="N53" s="145"/>
      <c r="O53" s="147"/>
      <c r="P53" s="148"/>
      <c r="Q53" s="149"/>
      <c r="R53" s="148"/>
      <c r="S53" s="150"/>
      <c r="T53" s="150"/>
      <c r="U53" s="150"/>
      <c r="V53" s="150"/>
      <c r="W53" s="150"/>
      <c r="X53" s="150"/>
      <c r="Y53" s="111"/>
      <c r="Z53" s="111"/>
      <c r="AA53" s="73"/>
      <c r="AB53" s="133"/>
      <c r="AC53" s="2"/>
    </row>
    <row r="54" ht="14" customHeight="1" spans="6:29" x14ac:dyDescent="0.25">
      <c r="F54" s="151" t="s">
        <v>64</v>
      </c>
      <c r="G54" s="152">
        <f>G51</f>
        <v>156185.35080000001</v>
      </c>
      <c r="H54" s="130"/>
      <c r="I54" s="153"/>
      <c r="J54" s="94">
        <f>J43</f>
        <v>12973.352395520002</v>
      </c>
      <c r="M54" s="154"/>
      <c r="Y54" s="111"/>
      <c r="Z54" s="111"/>
      <c r="AA54" s="73"/>
      <c r="AB54" s="133"/>
      <c r="AC54" s="2"/>
    </row>
    <row r="55" ht="14" customHeight="1" spans="6:29" x14ac:dyDescent="0.25">
      <c r="F55" s="151" t="s">
        <v>65</v>
      </c>
      <c r="G55" s="94">
        <f>+G54-G51</f>
        <v>0</v>
      </c>
      <c r="H55" s="155"/>
      <c r="I55" s="94"/>
      <c r="J55" s="94"/>
      <c r="M55" s="146"/>
      <c r="N55" s="145"/>
      <c r="Y55" s="66"/>
      <c r="Z55" s="66"/>
      <c r="AA55" s="66"/>
      <c r="AB55" s="66"/>
      <c r="AC55" s="2"/>
    </row>
    <row r="56" ht="14" customHeight="1" spans="6:29" x14ac:dyDescent="0.25">
      <c r="F56" s="151" t="s">
        <v>54</v>
      </c>
      <c r="G56" s="156">
        <v>0</v>
      </c>
      <c r="H56" s="155"/>
      <c r="I56" s="155"/>
      <c r="J56" s="94"/>
      <c r="Y56" s="157"/>
      <c r="Z56" s="65"/>
      <c r="AA56" s="65"/>
      <c r="AB56" s="94"/>
      <c r="AC56" s="144"/>
    </row>
    <row r="57" ht="14" customHeight="1" spans="4:10" x14ac:dyDescent="0.25">
      <c r="D57" s="66"/>
      <c r="F57" s="151" t="s">
        <v>65</v>
      </c>
      <c r="G57" s="94">
        <v>0</v>
      </c>
      <c r="H57" s="94"/>
      <c r="I57" s="94"/>
      <c r="J57" s="94"/>
    </row>
    <row r="58" ht="19.5" customHeight="1" spans="8:9" x14ac:dyDescent="0.25">
      <c r="H58" s="158">
        <f>+INVOICE-H31</f>
        <v>26189.777339520002</v>
      </c>
      <c r="I58" s="159" t="s">
        <v>66</v>
      </c>
    </row>
    <row r="59" ht="19.5" customHeight="1" spans="8:9" x14ac:dyDescent="0.25">
      <c r="H59" s="158">
        <f>+H31</f>
        <v>0</v>
      </c>
      <c r="I59" s="158" t="s">
        <v>67</v>
      </c>
    </row>
    <row r="60" ht="19.5" customHeight="1" spans="4:4" x14ac:dyDescent="0.25">
      <c r="D60" s="66"/>
    </row>
    <row r="61" ht="19.5" customHeight="1" spans="8:8" x14ac:dyDescent="0.25">
      <c r="H61" s="160"/>
    </row>
  </sheetData>
  <mergeCells count="19">
    <mergeCell ref="A1:D1"/>
    <mergeCell ref="J2:K2"/>
    <mergeCell ref="D5:F5"/>
    <mergeCell ref="P7:Q7"/>
    <mergeCell ref="Z10:AB10"/>
    <mergeCell ref="D20:F20"/>
    <mergeCell ref="Z25:AB25"/>
    <mergeCell ref="D31:F31"/>
    <mergeCell ref="Z36:AB36"/>
    <mergeCell ref="D37:F37"/>
    <mergeCell ref="D41:F41"/>
    <mergeCell ref="Z42:AB42"/>
    <mergeCell ref="Z46:AB46"/>
    <mergeCell ref="D47:F47"/>
    <mergeCell ref="B50:F50"/>
    <mergeCell ref="D51:E51"/>
    <mergeCell ref="D52:F52"/>
    <mergeCell ref="Z52:AB52"/>
    <mergeCell ref="Z56:AA56"/>
  </mergeCells>
  <pageMargins left="0.63" right="0.64" top="1" bottom="0.9" header="0.5" footer="0.5"/>
  <pageSetup orientation="portrait" horizontalDpi="4294967295" verticalDpi="4294967295" scale="63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 Calc _revised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Mora</dc:creator>
  <cp:lastModifiedBy>G Mora</cp:lastModifiedBy>
  <dcterms:created xsi:type="dcterms:W3CDTF">2026-06-25T22:22:04Z</dcterms:created>
  <dcterms:modified xsi:type="dcterms:W3CDTF">2026-06-25T22:22:18Z</dcterms:modified>
</cp:coreProperties>
</file>