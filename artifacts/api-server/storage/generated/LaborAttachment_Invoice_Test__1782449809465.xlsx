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Sub Labor" state="visible" r:id="rId4"/>
  </sheets>
  <definedNames>
    <definedName name="_xlnm._FilterDatabase">'Sub Labor'!$A$4:$A$31</definedName>
    <definedName name="consultant">'Sub Labor'!$B$1</definedName>
    <definedName name="INVOICE">'[1]Sub Calc'!$H$51</definedName>
    <definedName name="_xlnm.Print_Area" localSheetId="0">'Sub Labor'!$B1:$F32</definedName>
  </definedNames>
  <calcPr calcId="171027" fullCalcOnLoad="1"/>
</workbook>
</file>

<file path=xl/sharedStrings.xml><?xml version="1.0" encoding="utf-8"?>
<sst xmlns="http://schemas.openxmlformats.org/spreadsheetml/2006/main" count="26" uniqueCount="26">
  <si>
    <t>Invoice Date:</t>
  </si>
  <si>
    <t>Max Rate Cap</t>
  </si>
  <si>
    <t>LABOR ATTACHMENT</t>
  </si>
  <si>
    <t>Invoice No.:</t>
  </si>
  <si>
    <t xml:space="preserve"> Invoice Test </t>
  </si>
  <si>
    <t>at $115</t>
  </si>
  <si>
    <t>Work Plan No.:</t>
  </si>
  <si>
    <t>47CJ016, 20LT008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</si>
  <si>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</si>
  <si>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</si>
  <si>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</si>
  <si>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</si>
  <si>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</si>
  <si>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</si>
  <si>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</si>
  <si>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</si>
  <si>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</si>
  <si>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</si>
  <si>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</si>
  <si>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</si>
  <si>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Field</t>
  </si>
  <si>
    <t>SUBTOTAL (FIELD)</t>
  </si>
  <si>
    <t>TOTAL LABOR</t>
  </si>
  <si>
    <t xml:space="preserve">Labor </t>
  </si>
  <si>
    <t xml:space="preserve">ODC </t>
  </si>
  <si>
    <t xml:space="preserve">manual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</si>
</sst>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mm/dd/yy;@"/>
    <numFmt numFmtId="167" formatCode="&quot;$&quot;#,##0.00_);[Red](&quot;$&quot;#,##0.00)"/>
    <numFmt numFmtId="168" formatCode="_(* #,##0.0_);_(* (#,##0.0);_(* &quot;-&quot;??_);_(@_)"/>
  </numFmts>
  <fonts count="2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11"/>
      <name val="Arial"/>
    </font>
    <font>
      <b/>
      <color rgb="FF0070C0"/>
      <family val="2"/>
      <sz val="12"/>
      <name val="Arial"/>
    </font>
    <font>
      <family val="2"/>
      <sz val="12"/>
      <name val="Arial"/>
    </font>
    <font>
      <b/>
      <color rgb="FFC00000"/>
      <family val="2"/>
      <sz val="11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color rgb="FFFF0000"/>
      <family val="2"/>
      <sz val="11"/>
      <name val="Arial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z val="11"/>
      <name val="Arial"/>
    </font>
    <font>
      <color theme="1"/>
      <family val="2"/>
      <sz val="8"/>
      <name val="Arial"/>
    </font>
    <font>
      <family val="2"/>
      <sz val="9"/>
      <name val="Arial"/>
    </font>
    <font>
      <color theme="1"/>
      <family val="2"/>
      <sz val="10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indent="1"/>
    </xf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/>
    <xf numFmtId="14" fontId="4" fillId="2" borderId="5" xfId="0" applyNumberFormat="1" applyFont="1" applyFill="1" applyBorder="1"/>
    <xf numFmtId="14" fontId="2" fillId="0" borderId="0" xfId="0" applyNumberFormat="1" applyFont="1"/>
    <xf numFmtId="0" fontId="5" fillId="0" borderId="0" xfId="0" applyFont="1" applyAlignment="1">
      <alignment horizontal="center"/>
    </xf>
    <xf numFmtId="0" fontId="6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/>
    <xf numFmtId="0" fontId="7" fillId="2" borderId="10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 indent="1"/>
    </xf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165" fontId="6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1" fillId="0" borderId="0" xfId="0" applyFont="1"/>
    <xf numFmtId="0" fontId="12" fillId="3" borderId="0" xfId="0" applyFont="1" applyFill="1"/>
    <xf numFmtId="0" fontId="13" fillId="3" borderId="0" xfId="0" applyFont="1" applyFill="1"/>
    <xf numFmtId="0" fontId="14" fillId="4" borderId="11" xfId="0" applyFont="1" applyFill="1" applyBorder="1" applyAlignment="1">
      <alignment horizontal="center"/>
    </xf>
    <xf numFmtId="2" fontId="14" fillId="4" borderId="1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15" fillId="5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166" fontId="12" fillId="0" borderId="12" xfId="0" applyNumberFormat="1" applyFont="1" applyBorder="1"/>
    <xf numFmtId="0" fontId="16" fillId="0" borderId="0" xfId="0" applyFont="1"/>
    <xf numFmtId="2" fontId="2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center" indent="1"/>
    </xf>
    <xf numFmtId="0" fontId="15" fillId="0" borderId="0" xfId="0" applyFont="1"/>
    <xf numFmtId="164" fontId="13" fillId="0" borderId="13" xfId="0" applyNumberFormat="1" applyFont="1" applyBorder="1"/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right"/>
    </xf>
    <xf numFmtId="165" fontId="16" fillId="0" borderId="0" xfId="0" applyNumberFormat="1" applyFont="1"/>
    <xf numFmtId="165" fontId="17" fillId="0" borderId="0" xfId="0" applyNumberFormat="1" applyFont="1" applyAlignment="1">
      <alignment horizontal="center" indent="1"/>
    </xf>
    <xf numFmtId="0" fontId="18" fillId="0" borderId="0" xfId="0" applyFont="1"/>
    <xf numFmtId="164" fontId="12" fillId="0" borderId="12" xfId="0" applyNumberFormat="1" applyFont="1" applyBorder="1"/>
    <xf numFmtId="164" fontId="13" fillId="0" borderId="14" xfId="0" applyNumberFormat="1" applyFont="1" applyBorder="1"/>
    <xf numFmtId="164" fontId="11" fillId="0" borderId="0" xfId="0" applyNumberFormat="1" applyFont="1"/>
    <xf numFmtId="165" fontId="16" fillId="0" borderId="0" xfId="0" applyNumberFormat="1" applyFont="1" applyAlignment="1">
      <alignment horizontal="right" vertic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18" fillId="3" borderId="0" xfId="0" applyFont="1" applyFill="1"/>
    <xf numFmtId="4" fontId="16" fillId="0" borderId="0" xfId="0" applyNumberFormat="1" applyFont="1"/>
    <xf numFmtId="167" fontId="15" fillId="0" borderId="0" xfId="0" applyNumberFormat="1" applyFont="1"/>
    <xf numFmtId="167" fontId="2" fillId="0" borderId="0" xfId="0" applyNumberFormat="1" applyFont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165" fontId="14" fillId="4" borderId="11" xfId="0" applyNumberFormat="1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5" fontId="15" fillId="0" borderId="0" xfId="0" applyNumberFormat="1" applyFont="1"/>
    <xf numFmtId="165" fontId="2" fillId="0" borderId="0" xfId="0" applyNumberFormat="1" applyFont="1"/>
    <xf numFmtId="10" fontId="19" fillId="0" borderId="0" xfId="0" applyNumberFormat="1" applyFont="1" applyAlignment="1">
      <alignment horizontal="center" inden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2" fontId="16" fillId="3" borderId="0" xfId="0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65" fontId="14" fillId="4" borderId="11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center" indent="1"/>
    </xf>
    <xf numFmtId="0" fontId="9" fillId="0" borderId="15" xfId="0" applyFont="1" applyBorder="1" applyAlignment="1">
      <alignment horizontal="center" indent="1"/>
    </xf>
    <xf numFmtId="0" fontId="9" fillId="0" borderId="0" xfId="0" applyFont="1"/>
    <xf numFmtId="0" fontId="14" fillId="4" borderId="0" xfId="0" applyFont="1" applyFill="1" applyAlignment="1">
      <alignment horizontal="left"/>
    </xf>
    <xf numFmtId="165" fontId="8" fillId="0" borderId="0" xfId="0" applyNumberFormat="1" applyFont="1" applyAlignment="1">
      <alignment horizontal="center" indent="1"/>
    </xf>
    <xf numFmtId="164" fontId="21" fillId="0" borderId="12" xfId="0" applyNumberFormat="1" applyFont="1" applyBorder="1"/>
    <xf numFmtId="164" fontId="12" fillId="3" borderId="12" xfId="0" applyNumberFormat="1" applyFont="1" applyFill="1" applyBorder="1"/>
    <xf numFmtId="165" fontId="9" fillId="0" borderId="0" xfId="0" applyNumberFormat="1" applyFont="1" applyAlignment="1">
      <alignment horizontal="center" indent="1"/>
    </xf>
    <xf numFmtId="165" fontId="9" fillId="0" borderId="16" xfId="0" applyNumberFormat="1" applyFont="1" applyBorder="1" applyAlignment="1">
      <alignment horizontal="center" indent="1"/>
    </xf>
    <xf numFmtId="167" fontId="9" fillId="0" borderId="16" xfId="0" applyNumberFormat="1" applyFont="1" applyBorder="1" applyAlignment="1">
      <alignment horizontal="center" indent="1"/>
    </xf>
    <xf numFmtId="165" fontId="11" fillId="0" borderId="0" xfId="0" applyNumberFormat="1" applyFont="1" applyAlignment="1">
      <alignment horizont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C43" sqref="C43"/>
    </sheetView>
  </sheetViews>
  <sheetFormatPr defaultRowHeight="14" outlineLevelRow="0" outlineLevelCol="0" x14ac:dyDescent="0" defaultColWidth="8.7109375" customHeight="1"/>
  <cols>
    <col min="1" max="1" width="2.140625" style="1" customWidth="1"/>
    <col min="2" max="2" width="36.7109375" style="2" customWidth="1"/>
    <col min="3" max="3" width="30.85546875" style="2" customWidth="1"/>
    <col min="4" max="4" width="8.5703125" style="2" customWidth="1"/>
    <col min="5" max="5" width="9.7109375" style="2" customWidth="1"/>
    <col min="6" max="6" width="12.140625" style="2" customWidth="1"/>
    <col min="7" max="7" width="8.5703125" style="2" hidden="1" customWidth="1"/>
    <col min="8" max="8" width="14.7109375" style="3" customWidth="1"/>
    <col min="9" max="9" width="16.85546875" style="2" customWidth="1"/>
    <col min="10" max="10" width="1.85546875" style="2" customWidth="1"/>
    <col min="11" max="11" width="8.28515625" style="2" customWidth="1"/>
    <col min="12" max="12" width="1.5703125" style="2" customWidth="1"/>
    <col min="13" max="19" width="8.7109375" style="2" customWidth="1"/>
    <col min="20" max="21" width="6.7109375" style="2" customWidth="1"/>
    <col min="22" max="16384" width="8.7109375" style="2" customWidth="1"/>
  </cols>
  <sheetData>
    <row r="1" ht="22.5" customHeight="1" spans="2:9" x14ac:dyDescent="0.25">
      <c r="B1" s="4" t="str">
        <f>[1]Invoice!B4</f>
        <v>Azad Engineering PC</v>
      </c>
      <c r="C1" s="5"/>
      <c r="D1" s="6" t="s">
        <v>0</v>
      </c>
      <c r="E1" s="7"/>
      <c r="F1" s="8">
        <v>46198.5</v>
      </c>
      <c r="G1" s="9"/>
      <c r="I1" s="10" t="s">
        <v>1</v>
      </c>
    </row>
    <row r="2" ht="22.5" customHeight="1" spans="2:9" x14ac:dyDescent="0.25">
      <c r="B2" s="11" t="s">
        <v>2</v>
      </c>
      <c r="C2" s="12"/>
      <c r="D2" s="13" t="s">
        <v>3</v>
      </c>
      <c r="E2" s="14"/>
      <c r="F2" s="15" t="s">
        <v>4</v>
      </c>
      <c r="G2" s="16"/>
      <c r="H2" s="17"/>
      <c r="I2" s="18" t="s">
        <v>5</v>
      </c>
    </row>
    <row r="3" ht="18" customHeight="1" spans="4:9" x14ac:dyDescent="0.25">
      <c r="D3" s="19" t="s">
        <v>6</v>
      </c>
      <c r="E3" s="20"/>
      <c r="F3" s="21" t="s">
        <v>7</v>
      </c>
      <c r="G3" s="9"/>
      <c r="H3" s="17"/>
      <c r="I3" s="18" t="s">
        <v>8</v>
      </c>
    </row>
    <row r="4" ht="18" customHeight="1" spans="2:21" x14ac:dyDescent="0.25">
      <c r="B4" s="22"/>
      <c r="E4" s="23"/>
      <c r="H4" s="17"/>
      <c r="I4" s="24">
        <v>44562</v>
      </c>
      <c r="J4" s="25"/>
      <c r="K4" s="26" t="s">
        <v>9</v>
      </c>
      <c r="L4" s="26"/>
      <c r="M4" s="27"/>
      <c r="N4" s="27"/>
      <c r="O4" s="27"/>
      <c r="P4" s="27"/>
      <c r="Q4" s="27"/>
      <c r="R4" s="27"/>
      <c r="S4" s="27"/>
      <c r="T4" s="27"/>
      <c r="U4" s="27"/>
    </row>
    <row r="5" ht="18" customHeight="1" spans="1:21" x14ac:dyDescent="0.25">
      <c r="A5" s="1">
        <v>1</v>
      </c>
      <c r="B5" s="28" t="s">
        <v>10</v>
      </c>
      <c r="C5" s="28" t="s">
        <v>11</v>
      </c>
      <c r="D5" s="29" t="s">
        <v>12</v>
      </c>
      <c r="E5" s="28" t="s">
        <v>13</v>
      </c>
      <c r="F5" s="28" t="s">
        <v>14</v>
      </c>
      <c r="G5" s="30" t="s">
        <v>15</v>
      </c>
      <c r="H5" s="17" t="s">
        <v>16</v>
      </c>
      <c r="I5" s="31"/>
      <c r="J5" s="32"/>
      <c r="K5" s="33" t="s">
        <v>17</v>
      </c>
      <c r="L5" s="33"/>
      <c r="M5" s="33"/>
      <c r="N5" s="33"/>
      <c r="O5" s="33"/>
      <c r="P5" s="33"/>
      <c r="Q5" s="33"/>
      <c r="R5" s="33"/>
      <c r="S5" s="33"/>
      <c r="T5" s="33"/>
      <c r="U5" s="33">
        <v>45505</v>
      </c>
    </row>
    <row r="6" ht="15" customHeight="1" spans="1:21" x14ac:dyDescent="0.25">
      <c r="A6" s="1">
        <v>1</v>
      </c>
      <c r="B6" s="22" t="s">
        <v>18</v>
      </c>
      <c r="C6" s="34"/>
      <c r="D6" s="35"/>
      <c r="F6" s="20"/>
      <c r="G6" s="20"/>
      <c r="H6" s="36">
        <v>1.21</v>
      </c>
      <c r="I6" s="37"/>
      <c r="J6" s="20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</row>
    <row r="7" ht="15" customHeight="1" spans="1:21" x14ac:dyDescent="0.25">
      <c r="A7" s="1" t="str">
        <f t="shared" ref="A7:A21" si="0">IF(D7=0,"0","1")</f>
        <v>0</v>
      </c>
      <c r="B7" s="39"/>
      <c r="C7" s="39"/>
      <c r="D7" s="40"/>
      <c r="E7" s="41"/>
      <c r="F7" s="41"/>
      <c r="G7" s="20"/>
      <c r="H7" s="42"/>
      <c r="I7" s="43"/>
      <c r="J7" s="20"/>
      <c r="K7" s="44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ht="15" customHeight="1" hidden="1" spans="1:21" x14ac:dyDescent="0.25">
      <c r="A8" s="1" t="str">
        <f t="shared" si="0"/>
        <v>0</v>
      </c>
      <c r="B8" s="39"/>
      <c r="C8" s="39"/>
      <c r="D8" s="40"/>
      <c r="E8" s="41"/>
      <c r="F8" s="41"/>
      <c r="G8" s="20"/>
      <c r="H8" s="42"/>
      <c r="I8" s="43"/>
      <c r="J8" s="46"/>
      <c r="K8" s="44">
        <f t="shared" ref="K8:K9" si="1">SUM(L8:U8)</f>
        <v>0</v>
      </c>
      <c r="L8" s="45"/>
      <c r="M8" s="45"/>
      <c r="N8" s="45"/>
      <c r="O8" s="45"/>
      <c r="P8" s="45"/>
      <c r="Q8" s="45"/>
      <c r="R8" s="45"/>
      <c r="S8" s="45"/>
      <c r="T8" s="45"/>
      <c r="U8" s="45"/>
    </row>
    <row r="9" ht="15" customHeight="1" hidden="1" spans="1:21" x14ac:dyDescent="0.25">
      <c r="A9" s="1" t="str">
        <f t="shared" si="0"/>
        <v>0</v>
      </c>
      <c r="B9" s="39"/>
      <c r="C9" s="39"/>
      <c r="D9" s="40"/>
      <c r="E9" s="47"/>
      <c r="F9" s="41"/>
      <c r="G9" s="20"/>
      <c r="H9" s="42"/>
      <c r="I9" s="43"/>
      <c r="J9" s="46"/>
      <c r="K9" s="44">
        <f t="shared" si="1"/>
        <v>0</v>
      </c>
      <c r="L9" s="45"/>
      <c r="M9" s="45"/>
      <c r="N9" s="45"/>
      <c r="O9" s="45"/>
      <c r="P9" s="45"/>
      <c r="Q9" s="45"/>
      <c r="R9" s="45"/>
      <c r="S9" s="45"/>
      <c r="T9" s="45"/>
      <c r="U9" s="45"/>
    </row>
    <row r="10" ht="15" customHeight="1" hidden="1" spans="1:21" s="48" customFormat="1" x14ac:dyDescent="0.25">
      <c r="A10" s="49">
        <v>1</v>
      </c>
      <c r="B10" s="39"/>
      <c r="C10" s="39"/>
      <c r="D10" s="40"/>
      <c r="E10" s="41"/>
      <c r="F10" s="41"/>
      <c r="G10" s="50"/>
      <c r="H10" s="42"/>
      <c r="I10" s="51"/>
      <c r="J10" s="50"/>
      <c r="K10" s="44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ht="15" customHeight="1" hidden="1" spans="1:21" x14ac:dyDescent="0.25">
      <c r="A11" s="1">
        <v>1</v>
      </c>
      <c r="B11" s="39"/>
      <c r="C11" s="39"/>
      <c r="D11" s="40"/>
      <c r="E11" s="41"/>
      <c r="F11" s="41"/>
      <c r="G11" s="20"/>
      <c r="H11" s="42"/>
      <c r="I11" s="43"/>
      <c r="J11" s="46"/>
      <c r="K11" s="44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ht="15" customHeight="1" hidden="1" spans="1:21" x14ac:dyDescent="0.25">
      <c r="A12" s="1">
        <v>1</v>
      </c>
      <c r="B12" s="39"/>
      <c r="C12" s="39"/>
      <c r="D12" s="40"/>
      <c r="E12" s="41"/>
      <c r="F12" s="41"/>
      <c r="G12" s="20"/>
      <c r="H12" s="42"/>
      <c r="I12" s="43"/>
      <c r="J12" s="20"/>
      <c r="K12" s="44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ht="15" customHeight="1" hidden="1" spans="1:21" x14ac:dyDescent="0.25">
      <c r="A13" s="1">
        <v>1</v>
      </c>
      <c r="B13" s="39"/>
      <c r="C13" s="39"/>
      <c r="D13" s="40"/>
      <c r="E13" s="41"/>
      <c r="F13" s="41"/>
      <c r="G13" s="20"/>
      <c r="H13" s="42"/>
      <c r="I13" s="43"/>
      <c r="J13" s="20"/>
      <c r="K13" s="44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ht="15" customHeight="1" hidden="1" spans="1:21" x14ac:dyDescent="0.25">
      <c r="A14" s="1">
        <v>1</v>
      </c>
      <c r="B14" s="39"/>
      <c r="C14" s="39"/>
      <c r="D14" s="40"/>
      <c r="E14" s="41"/>
      <c r="F14" s="41"/>
      <c r="G14" s="20"/>
      <c r="H14" s="42"/>
      <c r="I14" s="43"/>
      <c r="J14" s="20"/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ht="15" customHeight="1" hidden="1" spans="1:21" x14ac:dyDescent="0.25">
      <c r="A15" s="1">
        <v>1</v>
      </c>
      <c r="B15" s="39"/>
      <c r="C15" s="39"/>
      <c r="D15" s="40"/>
      <c r="E15" s="52"/>
      <c r="F15" s="41"/>
      <c r="G15" s="20"/>
      <c r="H15" s="42"/>
      <c r="I15" s="43"/>
      <c r="J15" s="20"/>
      <c r="K15" s="44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ht="15" customHeight="1" hidden="1" spans="1:21" x14ac:dyDescent="0.25">
      <c r="A16" s="1">
        <v>1</v>
      </c>
      <c r="B16" s="39"/>
      <c r="C16" s="39"/>
      <c r="D16" s="40"/>
      <c r="E16" s="52"/>
      <c r="F16" s="41"/>
      <c r="G16" s="20"/>
      <c r="H16" s="42"/>
      <c r="I16" s="43"/>
      <c r="J16" s="20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ht="15" customHeight="1" hidden="1" spans="1:21" x14ac:dyDescent="0.25">
      <c r="A17" s="1">
        <v>1</v>
      </c>
      <c r="B17" s="39"/>
      <c r="C17" s="39"/>
      <c r="D17" s="40"/>
      <c r="E17" s="52"/>
      <c r="F17" s="41"/>
      <c r="G17" s="20"/>
      <c r="H17" s="42"/>
      <c r="I17" s="53"/>
      <c r="J17" s="54"/>
      <c r="K17" s="44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ht="15" customHeight="1" spans="1:21" x14ac:dyDescent="0.25">
      <c r="A18" s="1" t="str">
        <f t="shared" si="0"/>
        <v>0</v>
      </c>
      <c r="B18" s="55" t="s">
        <v>19</v>
      </c>
      <c r="C18" s="55"/>
      <c r="D18" s="29">
        <v>0</v>
      </c>
      <c r="E18" s="56"/>
      <c r="F18" s="57">
        <v>0</v>
      </c>
      <c r="G18" s="58"/>
      <c r="H18" s="42">
        <v>0</v>
      </c>
      <c r="I18" s="59"/>
      <c r="J18" s="20"/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ht="15" customHeight="1" spans="1:21" x14ac:dyDescent="0.25">
      <c r="A19" s="1">
        <v>1</v>
      </c>
      <c r="B19" s="22" t="s">
        <v>20</v>
      </c>
      <c r="D19" s="35"/>
      <c r="F19" s="60"/>
      <c r="H19" s="61">
        <v>1.21</v>
      </c>
      <c r="I19" s="37"/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ht="15" customHeight="1" spans="1:21" x14ac:dyDescent="0.25">
      <c r="A20" s="1" t="str">
        <f t="shared" si="0"/>
        <v>0</v>
      </c>
      <c r="B20" s="39"/>
      <c r="C20" s="39"/>
      <c r="D20" s="40"/>
      <c r="E20" s="47"/>
      <c r="F20" s="41"/>
      <c r="G20" s="20"/>
      <c r="H20" s="42"/>
      <c r="I20" s="37"/>
      <c r="J20" s="20"/>
      <c r="K20" s="44">
        <f>SUM(L20:U20)</f>
        <v>0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ht="15" customHeight="1" spans="1:21" x14ac:dyDescent="0.25">
      <c r="A21" s="1" t="str">
        <f t="shared" si="0"/>
        <v>1</v>
      </c>
      <c r="B21" s="62"/>
      <c r="C21" s="63"/>
      <c r="D21" s="64"/>
      <c r="E21" s="65"/>
      <c r="F21" s="41"/>
      <c r="G21" s="20"/>
      <c r="H21" s="42"/>
      <c r="I21" s="59">
        <f>(D21+D23+D24)*E21*H19</f>
        <v>13234.474944</v>
      </c>
      <c r="J21" s="20"/>
      <c r="K21" s="44">
        <f>SUM(L21:U21)</f>
        <v>0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ht="15" customHeight="1" hidden="1" spans="2:21" x14ac:dyDescent="0.25">
      <c r="B22" s="62"/>
      <c r="C22" s="63"/>
      <c r="D22" s="66"/>
      <c r="E22" s="65"/>
      <c r="F22" s="41"/>
      <c r="G22" s="20"/>
      <c r="H22" s="42"/>
      <c r="I22" s="59"/>
      <c r="J22" s="20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ht="15" customHeight="1" spans="2:21" x14ac:dyDescent="0.25">
      <c r="B23" s="62"/>
      <c r="C23" s="63"/>
      <c r="D23" s="66"/>
      <c r="E23" s="65"/>
      <c r="F23" s="41"/>
      <c r="G23" s="20"/>
      <c r="H23" s="42"/>
      <c r="I23" s="59">
        <f>(D21+D23+D24)*E21*(1+H19)*0.08</f>
        <v>1936.81239552</v>
      </c>
      <c r="J23" s="20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ht="15" customHeight="1" spans="2:21" x14ac:dyDescent="0.25">
      <c r="B24" s="62"/>
      <c r="C24" s="63"/>
      <c r="D24" s="66"/>
      <c r="E24" s="65"/>
      <c r="F24" s="41"/>
      <c r="G24" s="20"/>
      <c r="H24" s="42"/>
      <c r="I24" s="37"/>
      <c r="J24" s="20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ht="15" customHeight="1" spans="1:21" x14ac:dyDescent="0.25">
      <c r="A25" s="1">
        <v>1</v>
      </c>
      <c r="B25" s="39"/>
      <c r="C25" s="39"/>
      <c r="D25" s="40"/>
      <c r="E25" s="47"/>
      <c r="F25" s="41"/>
      <c r="G25" s="20"/>
      <c r="H25" s="42"/>
      <c r="I25" s="37"/>
      <c r="J25" s="20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ht="15" customHeight="1" spans="1:21" x14ac:dyDescent="0.25">
      <c r="A26" s="1">
        <v>1</v>
      </c>
      <c r="B26" s="55" t="s">
        <v>21</v>
      </c>
      <c r="C26" s="55"/>
      <c r="D26" s="29">
        <v>0</v>
      </c>
      <c r="E26" s="56"/>
      <c r="F26" s="67">
        <v>0</v>
      </c>
      <c r="G26" s="68"/>
      <c r="H26" s="69">
        <v>0</v>
      </c>
      <c r="I26" s="59">
        <f>H26-I23</f>
        <v>24210.154944000005</v>
      </c>
      <c r="J26" s="20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ht="15" customHeight="1" spans="1:21" x14ac:dyDescent="0.25">
      <c r="A27" s="1">
        <v>1</v>
      </c>
      <c r="D27" s="35"/>
      <c r="F27" s="60"/>
      <c r="H27" s="17"/>
      <c r="I27" s="37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ht="16" customHeight="1" spans="1:21" x14ac:dyDescent="0.25">
      <c r="A28" s="1">
        <v>1</v>
      </c>
      <c r="D28" s="35"/>
      <c r="F28" s="60"/>
      <c r="H28" s="70"/>
      <c r="I28" s="71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ht="18" customHeight="1" spans="1:21" x14ac:dyDescent="0.25">
      <c r="A29" s="1">
        <v>1</v>
      </c>
      <c r="B29" s="72" t="s">
        <v>22</v>
      </c>
      <c r="C29" s="55"/>
      <c r="D29" s="29">
        <v>0</v>
      </c>
      <c r="E29" s="56"/>
      <c r="F29" s="67">
        <v>0</v>
      </c>
      <c r="G29" s="68"/>
      <c r="H29" s="73">
        <v>0</v>
      </c>
      <c r="I29" s="71" t="s">
        <v>23</v>
      </c>
      <c r="K29" s="74"/>
      <c r="L29" s="44"/>
      <c r="M29" s="75">
        <f>SUM(M7:M28)</f>
        <v>0</v>
      </c>
      <c r="N29" s="75">
        <f>SUM(N7:N28)</f>
        <v>0</v>
      </c>
      <c r="O29" s="75">
        <f>SUM(O7:O28)</f>
        <v>0</v>
      </c>
      <c r="P29" s="75">
        <f>SUM(P7:P28)</f>
        <v>0</v>
      </c>
      <c r="Q29" s="75">
        <f>SUM(Q7:Q28)</f>
        <v>0</v>
      </c>
      <c r="R29" s="75">
        <f>SUM(R8:R28)</f>
        <v>0</v>
      </c>
      <c r="S29" s="75">
        <f>SUM(S8:S28)</f>
        <v>0</v>
      </c>
      <c r="T29" s="75">
        <f>SUM(T8:T28)</f>
        <v>0</v>
      </c>
      <c r="U29" s="75">
        <f>SUM(U8:U28)</f>
        <v>0</v>
      </c>
    </row>
    <row r="30" spans="1:9" x14ac:dyDescent="0.25">
      <c r="A30" s="1">
        <v>1</v>
      </c>
      <c r="H30" s="76">
        <v>0</v>
      </c>
      <c r="I30" s="71" t="s">
        <v>24</v>
      </c>
    </row>
    <row r="31" ht="15" customHeight="1" spans="1:9" x14ac:dyDescent="0.25">
      <c r="A31" s="1">
        <v>1</v>
      </c>
      <c r="H31" s="77">
        <v>0</v>
      </c>
      <c r="I31" s="71" t="s">
        <v>25</v>
      </c>
    </row>
    <row r="32" ht="15" customHeight="1" spans="8:9" x14ac:dyDescent="0.25">
      <c r="H32" s="76"/>
      <c r="I32" s="71"/>
    </row>
    <row r="33" ht="15" customHeight="1" spans="8:9" x14ac:dyDescent="0.25">
      <c r="H33" s="78"/>
      <c r="I33" s="71"/>
    </row>
    <row r="34" ht="15" customHeight="1" spans="8:8" x14ac:dyDescent="0.25">
      <c r="H34" s="79"/>
    </row>
  </sheetData>
  <autoFilter ref="A4:A31"/>
  <pageMargins left="0.5" right="0.5" top="1" bottom="1" header="0.5" footer="0.5"/>
  <pageSetup orientation="portrait" horizontalDpi="4294967295" verticalDpi="4294967295" scale="7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2026-06-25T22:24:07Z</dcterms:created>
  <dcterms:modified xsi:type="dcterms:W3CDTF">2026-06-25T22:24:28Z</dcterms:modified>
</cp:coreProperties>
</file>