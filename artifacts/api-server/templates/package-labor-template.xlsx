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F3F8324A-CA1A-924C-B567-788AF4C11DF8}" xr6:coauthVersionLast="47" xr6:coauthVersionMax="47" xr10:uidLastSave="{00000000-0000-0000-0000-000000000000}"/>
  <bookViews>
    <workbookView xWindow="780" yWindow="1100" windowWidth="27640" windowHeight="16160" xr2:uid="{C8298718-E0A3-0A45-BC93-3CA8374EF7A3}"/>
  </bookViews>
  <sheets>
    <sheet name="Sub Labor" sheetId="1" r:id="rId1"/>
  </sheets>
  <externalReferences>
    <externalReference r:id="rId2"/>
  </externalReferences>
  <definedNames>
    <definedName name="_xlnm._FilterDatabase" localSheetId="0" hidden="1">'Sub Labor'!$A$4:$A$31</definedName>
    <definedName name="amt">#REF!</definedName>
    <definedName name="BSIWhichPageSetup" hidden="1">1</definedName>
    <definedName name="BSIWhichPageSetup_0" hidden="1">"0þ"</definedName>
    <definedName name="caddate">#REF!</definedName>
    <definedName name="consultant">'Sub Labor'!$B$1</definedName>
    <definedName name="contno">#REF!</definedName>
    <definedName name="FEEBAL">'[1]Sub Calc'!#REF!</definedName>
    <definedName name="invdate">#REF!</definedName>
    <definedName name="invno">#REF!</definedName>
    <definedName name="INVOICE">'[1]Sub Calc'!$H$51</definedName>
    <definedName name="month">#REF!</definedName>
    <definedName name="pm">#REF!</definedName>
    <definedName name="_xlnm.Print_Area" localSheetId="0">'Sub Labor'!$B$1:$F$32</definedName>
    <definedName name="proj">#REF!</definedName>
    <definedName name="projno">#REF!</definedName>
    <definedName name="wscope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U29" i="1"/>
  <c r="T29" i="1"/>
  <c r="S29" i="1"/>
  <c r="R29" i="1"/>
  <c r="Q29" i="1"/>
  <c r="P29" i="1"/>
  <c r="O29" i="1"/>
  <c r="N29" i="1"/>
  <c r="M29" i="1"/>
  <c r="F25" i="1"/>
  <c r="H25" i="1" s="1"/>
  <c r="E24" i="1"/>
  <c r="D24" i="1"/>
  <c r="H24" i="1" s="1"/>
  <c r="E23" i="1"/>
  <c r="D23" i="1"/>
  <c r="H23" i="1" s="1"/>
  <c r="D22" i="1"/>
  <c r="K21" i="1"/>
  <c r="D21" i="1"/>
  <c r="I23" i="1" s="1"/>
  <c r="A21" i="1"/>
  <c r="K20" i="1"/>
  <c r="F20" i="1"/>
  <c r="A20" i="1"/>
  <c r="H19" i="1"/>
  <c r="D18" i="1"/>
  <c r="A18" i="1"/>
  <c r="H17" i="1"/>
  <c r="H16" i="1"/>
  <c r="H13" i="1"/>
  <c r="H12" i="1"/>
  <c r="H11" i="1"/>
  <c r="H10" i="1"/>
  <c r="K9" i="1"/>
  <c r="H9" i="1"/>
  <c r="F9" i="1"/>
  <c r="A9" i="1"/>
  <c r="K8" i="1"/>
  <c r="F8" i="1"/>
  <c r="H8" i="1" s="1"/>
  <c r="A8" i="1"/>
  <c r="F7" i="1"/>
  <c r="F18" i="1" s="1"/>
  <c r="A7" i="1"/>
  <c r="H6" i="1"/>
  <c r="H15" i="1" s="1"/>
  <c r="F3" i="1"/>
  <c r="F2" i="1"/>
  <c r="B1" i="1"/>
  <c r="F24" i="1" l="1"/>
  <c r="F22" i="1"/>
  <c r="F23" i="1"/>
  <c r="H20" i="1"/>
  <c r="H26" i="1" s="1"/>
  <c r="I26" i="1" s="1"/>
  <c r="H14" i="1"/>
  <c r="H21" i="1"/>
  <c r="D26" i="1"/>
  <c r="D29" i="1" s="1"/>
  <c r="H7" i="1"/>
  <c r="F21" i="1"/>
  <c r="F26" i="1" s="1"/>
  <c r="I21" i="1"/>
  <c r="F1" i="1"/>
  <c r="F29" i="1" l="1"/>
  <c r="H18" i="1"/>
  <c r="H29" i="1" s="1"/>
  <c r="H31" i="1" s="1"/>
</calcChain>
</file>

<file path=xl/sharedStrings.xml><?xml version="1.0" encoding="utf-8"?>
<sst xmlns="http://schemas.openxmlformats.org/spreadsheetml/2006/main" count="32" uniqueCount="29">
  <si>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</si>
  <si>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</si>
  <si>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</si>
  <si>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</si>
  <si>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</si>
  <si>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</si>
  <si>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</si>
  <si>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</si>
  <si>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</si>
  <si>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</si>
  <si>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</si>
  <si>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</si>
  <si>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</si>
  <si>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</si>
  <si>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</si>
  <si>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</si>
  <si>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</si>
  <si>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</si>
  <si>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Field</t>
  </si>
  <si>
    <t>Assistant Resident Engineer-Night-Regular</t>
  </si>
  <si>
    <t>Jordy Peralta</t>
  </si>
  <si>
    <t>Assistant Resident Engineer-NIGHT</t>
  </si>
  <si>
    <t>Assistant Resident Engineer-OT</t>
  </si>
  <si>
    <t>Assistant Resident Engineer-DT</t>
  </si>
  <si>
    <t>SUBTOTAL (FIELD)</t>
  </si>
  <si>
    <t>TOTAL LABOR</t>
  </si>
  <si>
    <t xml:space="preserve">Labor </t>
  </si>
  <si>
    <t xml:space="preserve">ODC </t>
  </si>
  <si>
    <t xml:space="preserve">manual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</si>
</sst>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.0_);_(* \(#,##0.0\);_(* &quot;-&quot;??_);_(@_)"/>
  </numFmts>
  <fonts count="23">
    <font>
      <sz val="12"/>
      <name val="Helv"/>
    </font>
    <font>
      <sz val="10"/>
      <name val="Arial"/>
      <family val="2"/>
    </font>
    <font>
      <b/>
      <sz val="12"/>
      <color rgb="FF0070C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name val="Arial"/>
      <family val="2"/>
    </font>
    <font>
      <sz val="11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</cellStyleXfs>
  <cellXfs count="8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/>
    <xf numFmtId="14" fontId="3" fillId="2" borderId="5" xfId="0" applyNumberFormat="1" applyFont="1" applyFill="1" applyBorder="1"/>
    <xf numFmtId="14" fontId="4" fillId="0" borderId="0" xfId="0" applyNumberFormat="1" applyFont="1"/>
    <xf numFmtId="0" fontId="4" fillId="0" borderId="0" xfId="0" applyFont="1" applyAlignment="1">
      <alignment horizontal="center" indent="1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2" borderId="6" xfId="0" applyFont="1" applyFill="1" applyBorder="1"/>
    <xf numFmtId="0" fontId="3" fillId="2" borderId="7" xfId="0" applyFont="1" applyFill="1" applyBorder="1"/>
    <xf numFmtId="0" fontId="3" fillId="2" borderId="8" xfId="0" quotePrefix="1" applyFont="1" applyFill="1" applyBorder="1" applyAlignment="1">
      <alignment horizontal="left"/>
    </xf>
    <xf numFmtId="0" fontId="3" fillId="2" borderId="9" xfId="0" applyFont="1" applyFill="1" applyBorder="1"/>
    <xf numFmtId="0" fontId="8" fillId="2" borderId="10" xfId="3" applyFont="1" applyFill="1" applyBorder="1" applyAlignment="1">
      <alignment horizontal="right"/>
    </xf>
    <xf numFmtId="0" fontId="9" fillId="0" borderId="0" xfId="3" applyFont="1" applyAlignment="1">
      <alignment horizontal="left"/>
    </xf>
    <xf numFmtId="0" fontId="10" fillId="0" borderId="0" xfId="0" applyFont="1" applyAlignment="1">
      <alignment horizontal="center" indent="1"/>
    </xf>
    <xf numFmtId="0" fontId="9" fillId="0" borderId="0" xfId="0" applyFont="1" applyAlignment="1">
      <alignment horizontal="center"/>
    </xf>
    <xf numFmtId="43" fontId="4" fillId="0" borderId="0" xfId="1" quotePrefix="1" applyFont="1" applyFill="1" applyAlignment="1">
      <alignment horizontal="left"/>
    </xf>
    <xf numFmtId="43" fontId="4" fillId="0" borderId="0" xfId="1" applyFont="1" applyFill="1"/>
    <xf numFmtId="44" fontId="6" fillId="0" borderId="0" xfId="2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2" fillId="0" borderId="0" xfId="0" applyFont="1"/>
    <xf numFmtId="0" fontId="13" fillId="3" borderId="0" xfId="0" applyFont="1" applyFill="1"/>
    <xf numFmtId="0" fontId="14" fillId="3" borderId="0" xfId="0" applyFont="1" applyFill="1"/>
    <xf numFmtId="0" fontId="15" fillId="4" borderId="11" xfId="0" applyFont="1" applyFill="1" applyBorder="1" applyAlignment="1">
      <alignment horizontal="center"/>
    </xf>
    <xf numFmtId="2" fontId="15" fillId="4" borderId="11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16" fillId="5" borderId="0" xfId="0" applyFont="1" applyFill="1" applyAlignment="1">
      <alignment horizontal="left"/>
    </xf>
    <xf numFmtId="0" fontId="12" fillId="0" borderId="0" xfId="0" applyFont="1" applyAlignment="1">
      <alignment horizontal="center"/>
    </xf>
    <xf numFmtId="164" fontId="13" fillId="0" borderId="12" xfId="0" applyNumberFormat="1" applyFont="1" applyBorder="1"/>
    <xf numFmtId="0" fontId="17" fillId="0" borderId="0" xfId="0" applyFont="1"/>
    <xf numFmtId="2" fontId="4" fillId="0" borderId="0" xfId="0" applyNumberFormat="1" applyFont="1" applyAlignment="1">
      <alignment horizontal="right"/>
    </xf>
    <xf numFmtId="43" fontId="4" fillId="0" borderId="0" xfId="0" applyNumberFormat="1" applyFont="1"/>
    <xf numFmtId="10" fontId="9" fillId="0" borderId="0" xfId="0" applyNumberFormat="1" applyFont="1" applyAlignment="1">
      <alignment horizontal="center" indent="1"/>
    </xf>
    <xf numFmtId="0" fontId="16" fillId="0" borderId="0" xfId="0" applyFont="1"/>
    <xf numFmtId="43" fontId="4" fillId="0" borderId="0" xfId="1" applyFont="1" applyFill="1" applyBorder="1"/>
    <xf numFmtId="43" fontId="14" fillId="0" borderId="13" xfId="1" applyFont="1" applyBorder="1"/>
    <xf numFmtId="0" fontId="17" fillId="0" borderId="0" xfId="0" applyFont="1" applyAlignment="1">
      <alignment horizontal="left"/>
    </xf>
    <xf numFmtId="2" fontId="17" fillId="0" borderId="0" xfId="1" applyNumberFormat="1" applyFont="1" applyFill="1" applyAlignment="1">
      <alignment horizontal="right"/>
    </xf>
    <xf numFmtId="44" fontId="17" fillId="0" borderId="0" xfId="2" applyFont="1" applyFill="1"/>
    <xf numFmtId="44" fontId="18" fillId="0" borderId="0" xfId="0" applyNumberFormat="1" applyFont="1" applyAlignment="1">
      <alignment horizontal="center" indent="1"/>
    </xf>
    <xf numFmtId="0" fontId="19" fillId="0" borderId="0" xfId="0" applyFont="1"/>
    <xf numFmtId="43" fontId="13" fillId="0" borderId="12" xfId="1" applyFont="1" applyFill="1" applyBorder="1"/>
    <xf numFmtId="43" fontId="14" fillId="0" borderId="14" xfId="1" applyFont="1" applyBorder="1"/>
    <xf numFmtId="43" fontId="12" fillId="0" borderId="0" xfId="0" applyNumberFormat="1" applyFont="1"/>
    <xf numFmtId="43" fontId="14" fillId="0" borderId="14" xfId="1" applyFont="1" applyFill="1" applyBorder="1"/>
    <xf numFmtId="44" fontId="17" fillId="0" borderId="0" xfId="2" applyFont="1" applyFill="1" applyAlignment="1">
      <alignment horizontal="right" vertical="center"/>
    </xf>
    <xf numFmtId="0" fontId="1" fillId="3" borderId="0" xfId="0" applyFont="1" applyFill="1" applyAlignment="1">
      <alignment horizontal="center"/>
    </xf>
    <xf numFmtId="43" fontId="4" fillId="3" borderId="0" xfId="0" applyNumberFormat="1" applyFont="1" applyFill="1"/>
    <xf numFmtId="0" fontId="19" fillId="3" borderId="0" xfId="0" applyFont="1" applyFill="1"/>
    <xf numFmtId="43" fontId="4" fillId="3" borderId="0" xfId="1" applyFont="1" applyFill="1" applyBorder="1"/>
    <xf numFmtId="0" fontId="4" fillId="3" borderId="0" xfId="0" applyFont="1" applyFill="1"/>
    <xf numFmtId="4" fontId="17" fillId="0" borderId="0" xfId="1" applyNumberFormat="1" applyFont="1" applyFill="1"/>
    <xf numFmtId="8" fontId="16" fillId="0" borderId="0" xfId="0" applyNumberFormat="1" applyFont="1"/>
    <xf numFmtId="8" fontId="4" fillId="0" borderId="0" xfId="1" applyNumberFormat="1" applyFont="1" applyFill="1" applyBorder="1"/>
    <xf numFmtId="0" fontId="15" fillId="4" borderId="0" xfId="0" applyFont="1" applyFill="1"/>
    <xf numFmtId="2" fontId="15" fillId="4" borderId="11" xfId="1" applyNumberFormat="1" applyFont="1" applyFill="1" applyBorder="1" applyAlignment="1">
      <alignment horizontal="right"/>
    </xf>
    <xf numFmtId="0" fontId="15" fillId="4" borderId="0" xfId="0" applyFont="1" applyFill="1" applyAlignment="1">
      <alignment horizontal="center"/>
    </xf>
    <xf numFmtId="44" fontId="15" fillId="4" borderId="11" xfId="2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44" fontId="16" fillId="0" borderId="0" xfId="0" applyNumberFormat="1" applyFont="1"/>
    <xf numFmtId="2" fontId="4" fillId="0" borderId="0" xfId="1" applyNumberFormat="1" applyFont="1" applyFill="1" applyAlignment="1">
      <alignment horizontal="right"/>
    </xf>
    <xf numFmtId="44" fontId="4" fillId="0" borderId="0" xfId="2" applyFont="1" applyFill="1"/>
    <xf numFmtId="10" fontId="20" fillId="0" borderId="0" xfId="0" applyNumberFormat="1" applyFont="1" applyAlignment="1">
      <alignment horizontal="center" inden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2" fontId="17" fillId="3" borderId="0" xfId="1" applyNumberFormat="1" applyFont="1" applyFill="1" applyAlignment="1">
      <alignment horizontal="center"/>
    </xf>
    <xf numFmtId="44" fontId="17" fillId="0" borderId="0" xfId="2" applyFont="1" applyFill="1" applyAlignment="1">
      <alignment horizontal="center"/>
    </xf>
    <xf numFmtId="2" fontId="17" fillId="0" borderId="0" xfId="1" applyNumberFormat="1" applyFont="1" applyFill="1" applyAlignment="1">
      <alignment horizontal="center"/>
    </xf>
    <xf numFmtId="44" fontId="15" fillId="4" borderId="11" xfId="2" applyFont="1" applyFill="1" applyBorder="1" applyAlignment="1">
      <alignment horizontal="right"/>
    </xf>
    <xf numFmtId="8" fontId="4" fillId="0" borderId="0" xfId="1" applyNumberFormat="1" applyFont="1" applyFill="1" applyBorder="1" applyAlignment="1">
      <alignment horizontal="right"/>
    </xf>
    <xf numFmtId="44" fontId="20" fillId="0" borderId="0" xfId="0" applyNumberFormat="1" applyFont="1" applyAlignment="1">
      <alignment horizontal="center" indent="1"/>
    </xf>
    <xf numFmtId="2" fontId="4" fillId="0" borderId="0" xfId="1" applyNumberFormat="1" applyFont="1" applyAlignment="1">
      <alignment horizontal="right"/>
    </xf>
    <xf numFmtId="44" fontId="4" fillId="0" borderId="0" xfId="2" applyFont="1"/>
    <xf numFmtId="0" fontId="10" fillId="0" borderId="15" xfId="0" applyFont="1" applyBorder="1" applyAlignment="1">
      <alignment horizontal="center" indent="1"/>
    </xf>
    <xf numFmtId="0" fontId="10" fillId="0" borderId="0" xfId="0" applyFont="1"/>
    <xf numFmtId="0" fontId="15" fillId="4" borderId="0" xfId="0" applyFont="1" applyFill="1" applyAlignment="1">
      <alignment horizontal="left"/>
    </xf>
    <xf numFmtId="44" fontId="9" fillId="0" borderId="0" xfId="0" applyNumberFormat="1" applyFont="1" applyAlignment="1">
      <alignment horizontal="center" indent="1"/>
    </xf>
    <xf numFmtId="43" fontId="22" fillId="0" borderId="12" xfId="1" applyFont="1" applyFill="1" applyBorder="1"/>
    <xf numFmtId="43" fontId="13" fillId="3" borderId="12" xfId="1" applyFont="1" applyFill="1" applyBorder="1"/>
    <xf numFmtId="44" fontId="10" fillId="0" borderId="0" xfId="0" applyNumberFormat="1" applyFont="1" applyAlignment="1">
      <alignment horizontal="center" indent="1"/>
    </xf>
    <xf numFmtId="44" fontId="10" fillId="0" borderId="16" xfId="0" applyNumberFormat="1" applyFont="1" applyBorder="1" applyAlignment="1">
      <alignment horizontal="center" indent="1"/>
    </xf>
    <xf numFmtId="8" fontId="10" fillId="0" borderId="16" xfId="2" applyNumberFormat="1" applyFont="1" applyBorder="1" applyAlignment="1">
      <alignment horizontal="center" indent="1"/>
    </xf>
    <xf numFmtId="44" fontId="12" fillId="0" borderId="0" xfId="0" applyNumberFormat="1" applyFont="1" applyAlignment="1">
      <alignment horizontal="center" indent="1"/>
    </xf>
  </cellXfs>
  <cellStyles count="4">
    <cellStyle name="Comma" xfId="1" builtinId="3"/>
    <cellStyle name="Currency" xfId="2" builtinId="4"/>
    <cellStyle name="Normal" xfId="0" builtinId="0"/>
    <cellStyle name="Normal 3" xfId="3" xr:uid="{56C5D0B5-B09D-D645-814D-AFDED160F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izmora/Downloads/SAMPLE%20INVOICE%2005-2026-BART6M8178-WSP-A.04.01-Invoice_AZAD-12%20(Jordy%20Peralta)%20Revised-%20.xlsm" TargetMode="External"/><Relationship Id="rId1" Type="http://schemas.openxmlformats.org/officeDocument/2006/relationships/externalLinkPath" Target="SAMPLE%20INVOICE%2005-2026-BART6M8178-WSP-A.04.01-Invoice_AZAD-12%20(Jordy%20Peralta)%20Revised-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"/>
      <sheetName val="Invoice"/>
      <sheetName val="Sub Calc _revised"/>
      <sheetName val="Progress Report"/>
      <sheetName val="Sub Calc"/>
      <sheetName val="Sub Labor"/>
      <sheetName val="Prime ODCs"/>
      <sheetName val="ODC"/>
      <sheetName val="MISC"/>
      <sheetName val="JP Week 1"/>
      <sheetName val="JP Week 2"/>
      <sheetName val="JP Week 3"/>
      <sheetName val="JP Week 4"/>
      <sheetName val="JP Week6"/>
      <sheetName val="JP Week 5"/>
    </sheetNames>
    <sheetDataSet>
      <sheetData sheetId="0"/>
      <sheetData sheetId="1">
        <row r="4">
          <cell r="B4" t="str">
            <v>Azad Engineering PC</v>
          </cell>
        </row>
        <row r="6">
          <cell r="L6">
            <v>46198</v>
          </cell>
        </row>
        <row r="10">
          <cell r="L10" t="str">
            <v xml:space="preserve"> A.04-02-12</v>
          </cell>
        </row>
      </sheetData>
      <sheetData sheetId="2">
        <row r="14">
          <cell r="D14">
            <v>1.2058</v>
          </cell>
        </row>
      </sheetData>
      <sheetData sheetId="3"/>
      <sheetData sheetId="4">
        <row r="3">
          <cell r="J3">
            <v>0</v>
          </cell>
        </row>
        <row r="10">
          <cell r="D10">
            <v>0</v>
          </cell>
        </row>
        <row r="31">
          <cell r="H31">
            <v>0</v>
          </cell>
        </row>
        <row r="48">
          <cell r="E48">
            <v>0</v>
          </cell>
        </row>
        <row r="51">
          <cell r="H51">
            <v>26146.967339520001</v>
          </cell>
        </row>
      </sheetData>
      <sheetData sheetId="5"/>
      <sheetData sheetId="6"/>
      <sheetData sheetId="7"/>
      <sheetData sheetId="8"/>
      <sheetData sheetId="9">
        <row r="10">
          <cell r="N10">
            <v>0</v>
          </cell>
        </row>
        <row r="11">
          <cell r="N11">
            <v>0</v>
          </cell>
        </row>
        <row r="12">
          <cell r="N12">
            <v>0</v>
          </cell>
        </row>
      </sheetData>
      <sheetData sheetId="10">
        <row r="9">
          <cell r="N9">
            <v>40</v>
          </cell>
        </row>
        <row r="10">
          <cell r="N10">
            <v>0</v>
          </cell>
        </row>
        <row r="11">
          <cell r="N11">
            <v>0</v>
          </cell>
        </row>
      </sheetData>
      <sheetData sheetId="11">
        <row r="9">
          <cell r="N9">
            <v>32</v>
          </cell>
        </row>
        <row r="10">
          <cell r="N10">
            <v>0</v>
          </cell>
        </row>
        <row r="11">
          <cell r="N11">
            <v>0</v>
          </cell>
        </row>
      </sheetData>
      <sheetData sheetId="12">
        <row r="9">
          <cell r="N9">
            <v>40</v>
          </cell>
        </row>
        <row r="10">
          <cell r="N10">
            <v>0</v>
          </cell>
        </row>
        <row r="11">
          <cell r="N11">
            <v>0</v>
          </cell>
        </row>
      </sheetData>
      <sheetData sheetId="13"/>
      <sheetData sheetId="14">
        <row r="9">
          <cell r="N9">
            <v>32</v>
          </cell>
        </row>
        <row r="10">
          <cell r="N10">
            <v>0</v>
          </cell>
        </row>
        <row r="11">
          <cell r="N11">
            <v>0</v>
          </cell>
        </row>
        <row r="12">
          <cell r="N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8D7E-6F9E-C84B-A999-413AB855BC64}">
  <sheetPr codeName="Sheet3">
    <pageSetUpPr fitToPage="1"/>
  </sheetPr>
  <dimension ref="A1:U34"/>
  <sheetViews>
    <sheetView tabSelected="1" view="pageBreakPreview" zoomScaleNormal="100" zoomScaleSheetLayoutView="100" workbookViewId="0">
      <pane ySplit="5" topLeftCell="A6" activePane="bottomLeft" state="frozen"/>
      <selection activeCell="R23" sqref="R23"/>
      <selection pane="bottomLeft" activeCell="C43" sqref="C43"/>
    </sheetView>
  </sheetViews>
  <sheetFormatPr baseColWidth="10" defaultColWidth="8.7109375" defaultRowHeight="14"/>
  <cols>
    <col min="1" max="1" width="2.140625" style="1" customWidth="1"/>
    <col min="2" max="2" width="36.7109375" style="10" bestFit="1" customWidth="1"/>
    <col min="3" max="3" width="30.85546875" style="10" customWidth="1"/>
    <col min="4" max="4" width="8.5703125" style="10" customWidth="1"/>
    <col min="5" max="5" width="9.7109375" style="10" customWidth="1"/>
    <col min="6" max="6" width="12.140625" style="10" customWidth="1"/>
    <col min="7" max="7" width="8.5703125" style="10" hidden="1" customWidth="1"/>
    <col min="8" max="8" width="14.7109375" style="8" customWidth="1"/>
    <col min="9" max="9" width="16.85546875" style="10" customWidth="1"/>
    <col min="10" max="10" width="1.85546875" style="10" customWidth="1"/>
    <col min="11" max="11" width="8.28515625" style="10" customWidth="1"/>
    <col min="12" max="12" width="1.5703125" style="10" customWidth="1"/>
    <col min="13" max="19" width="8.7109375" style="10"/>
    <col min="20" max="21" width="6.7109375" style="10" bestFit="1" customWidth="1"/>
    <col min="22" max="16384" width="8.7109375" style="10"/>
  </cols>
  <sheetData>
    <row r="1" spans="1:21" ht="22.5" customHeight="1">
      <c r="B1" s="2" t="str">
        <f>[1]Invoice!B4</f>
        <v>Azad Engineering PC</v>
      </c>
      <c r="C1" s="3"/>
      <c r="D1" s="4" t="s">
        <v>0</v>
      </c>
      <c r="E1" s="5"/>
      <c r="F1" s="6">
        <f ca="1">[1]Invoice!L6</f>
        <v>46198</v>
      </c>
      <c r="G1" s="7"/>
      <c r="I1" s="9" t="s">
        <v>1</v>
      </c>
    </row>
    <row r="2" spans="1:21" ht="22.5" customHeight="1" thickBot="1">
      <c r="B2" s="11" t="s">
        <v>2</v>
      </c>
      <c r="C2" s="12"/>
      <c r="D2" s="13" t="s">
        <v>3</v>
      </c>
      <c r="E2" s="14"/>
      <c r="F2" s="15" t="str">
        <f>[1]Invoice!L10</f>
        <v xml:space="preserve"> A.04-02-12</v>
      </c>
      <c r="G2" s="16"/>
      <c r="H2" s="17"/>
      <c r="I2" s="18" t="s">
        <v>4</v>
      </c>
    </row>
    <row r="3" spans="1:21" ht="18" customHeight="1">
      <c r="D3" s="19" t="s">
        <v>5</v>
      </c>
      <c r="E3" s="20"/>
      <c r="F3" s="21">
        <f>'[1]Sub Calc'!J3</f>
        <v>0</v>
      </c>
      <c r="G3" s="7"/>
      <c r="H3" s="17"/>
      <c r="I3" s="18" t="s">
        <v>6</v>
      </c>
    </row>
    <row r="4" spans="1:21" ht="18" customHeight="1">
      <c r="B4" s="22"/>
      <c r="E4" s="23"/>
      <c r="H4" s="17"/>
      <c r="I4" s="24">
        <v>44562</v>
      </c>
      <c r="J4" s="25"/>
      <c r="K4" s="26" t="s">
        <v>7</v>
      </c>
      <c r="L4" s="26"/>
      <c r="M4" s="27"/>
      <c r="N4" s="27"/>
      <c r="O4" s="27"/>
      <c r="P4" s="27"/>
      <c r="Q4" s="27"/>
      <c r="R4" s="27"/>
      <c r="S4" s="27"/>
      <c r="T4" s="27"/>
      <c r="U4" s="27"/>
    </row>
    <row r="5" spans="1:21" ht="18" customHeight="1">
      <c r="A5" s="1">
        <v>1</v>
      </c>
      <c r="B5" s="28" t="s">
        <v>8</v>
      </c>
      <c r="C5" s="28" t="s">
        <v>9</v>
      </c>
      <c r="D5" s="29" t="s">
        <v>10</v>
      </c>
      <c r="E5" s="28" t="s">
        <v>11</v>
      </c>
      <c r="F5" s="28" t="s">
        <v>12</v>
      </c>
      <c r="G5" s="30" t="s">
        <v>13</v>
      </c>
      <c r="H5" s="17" t="s">
        <v>14</v>
      </c>
      <c r="I5" s="31"/>
      <c r="J5" s="32"/>
      <c r="K5" s="33" t="s">
        <v>15</v>
      </c>
      <c r="L5" s="33"/>
      <c r="M5" s="33"/>
      <c r="N5" s="33"/>
      <c r="O5" s="33"/>
      <c r="P5" s="33"/>
      <c r="Q5" s="33"/>
      <c r="R5" s="33"/>
      <c r="S5" s="33"/>
      <c r="T5" s="33"/>
      <c r="U5" s="33">
        <v>45505</v>
      </c>
    </row>
    <row r="6" spans="1:21" ht="15">
      <c r="A6" s="1">
        <v>1</v>
      </c>
      <c r="B6" s="22" t="s">
        <v>16</v>
      </c>
      <c r="C6" s="34"/>
      <c r="D6" s="35"/>
      <c r="F6" s="36"/>
      <c r="G6" s="36"/>
      <c r="H6" s="37">
        <f>+'[1]Sub Calc'!D10+'[1]Sub Calc'!E48</f>
        <v>0</v>
      </c>
      <c r="I6" s="38"/>
      <c r="J6" s="39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1:21" ht="15">
      <c r="A7" s="1" t="str">
        <f t="shared" ref="A7:A21" si="0">IF(D7=0,"0","1")</f>
        <v>0</v>
      </c>
      <c r="B7" s="41"/>
      <c r="C7" s="41"/>
      <c r="D7" s="42"/>
      <c r="E7" s="43"/>
      <c r="F7" s="43">
        <f t="shared" ref="F7" si="1">ROUND(D7*E7,2)</f>
        <v>0</v>
      </c>
      <c r="G7" s="36"/>
      <c r="H7" s="44">
        <f t="shared" ref="H7" si="2">ROUND(+F7*(H$6+100%)+(F7*2.3952*8%),2)</f>
        <v>0</v>
      </c>
      <c r="I7" s="45"/>
      <c r="J7" s="39"/>
      <c r="K7" s="46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ht="15" hidden="1">
      <c r="A8" s="1" t="str">
        <f t="shared" si="0"/>
        <v>0</v>
      </c>
      <c r="B8" s="41"/>
      <c r="C8" s="41"/>
      <c r="D8" s="42"/>
      <c r="E8" s="43"/>
      <c r="F8" s="43">
        <f>D8*E8</f>
        <v>0</v>
      </c>
      <c r="G8" s="36"/>
      <c r="H8" s="44">
        <f>ROUNDDOWN(+F8*(H$6+100%)+(F8*2.3952*8%),2)</f>
        <v>0</v>
      </c>
      <c r="I8" s="45"/>
      <c r="J8" s="48"/>
      <c r="K8" s="46">
        <f t="shared" ref="K8:K9" si="3">SUM(L8:U8)</f>
        <v>0</v>
      </c>
      <c r="L8" s="49"/>
      <c r="M8" s="49"/>
      <c r="N8" s="49"/>
      <c r="O8" s="49"/>
      <c r="P8" s="49"/>
      <c r="Q8" s="49"/>
      <c r="R8" s="49"/>
      <c r="S8" s="49"/>
      <c r="T8" s="49"/>
      <c r="U8" s="49"/>
    </row>
    <row r="9" spans="1:21" ht="15" hidden="1">
      <c r="A9" s="1" t="str">
        <f t="shared" si="0"/>
        <v>0</v>
      </c>
      <c r="B9" s="41"/>
      <c r="C9" s="41"/>
      <c r="D9" s="42"/>
      <c r="E9" s="50"/>
      <c r="F9" s="43">
        <f>D9*E9</f>
        <v>0</v>
      </c>
      <c r="G9" s="36"/>
      <c r="H9" s="44">
        <f>ROUNDDOWN(+F9*(H$6+100%)+(F9*2.3952*8%),2)</f>
        <v>0</v>
      </c>
      <c r="I9" s="45"/>
      <c r="J9" s="48"/>
      <c r="K9" s="46">
        <f t="shared" si="3"/>
        <v>0</v>
      </c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1:21" s="55" customFormat="1" ht="15" hidden="1">
      <c r="A10" s="51">
        <v>1</v>
      </c>
      <c r="B10" s="41"/>
      <c r="C10" s="41"/>
      <c r="D10" s="42"/>
      <c r="E10" s="43"/>
      <c r="F10" s="43"/>
      <c r="G10" s="52"/>
      <c r="H10" s="44">
        <f t="shared" ref="H10:H17" si="4">ROUND(+F10*(H$6+100%)+(F10*2.3952*8%),2)</f>
        <v>0</v>
      </c>
      <c r="I10" s="53"/>
      <c r="J10" s="54"/>
      <c r="K10" s="46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ht="15" hidden="1">
      <c r="A11" s="1">
        <v>1</v>
      </c>
      <c r="B11" s="41"/>
      <c r="C11" s="41"/>
      <c r="D11" s="42"/>
      <c r="E11" s="43"/>
      <c r="F11" s="43"/>
      <c r="G11" s="36"/>
      <c r="H11" s="44">
        <f t="shared" si="4"/>
        <v>0</v>
      </c>
      <c r="I11" s="45"/>
      <c r="J11" s="48"/>
      <c r="K11" s="46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ht="15" hidden="1">
      <c r="A12" s="1">
        <v>1</v>
      </c>
      <c r="B12" s="41"/>
      <c r="C12" s="41"/>
      <c r="D12" s="42"/>
      <c r="E12" s="43"/>
      <c r="F12" s="43"/>
      <c r="G12" s="36"/>
      <c r="H12" s="44">
        <f t="shared" si="4"/>
        <v>0</v>
      </c>
      <c r="I12" s="45"/>
      <c r="J12" s="39"/>
      <c r="K12" s="46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ht="15" hidden="1">
      <c r="A13" s="1">
        <v>1</v>
      </c>
      <c r="B13" s="41"/>
      <c r="C13" s="41"/>
      <c r="D13" s="42"/>
      <c r="E13" s="43"/>
      <c r="F13" s="43"/>
      <c r="G13" s="36"/>
      <c r="H13" s="44">
        <f t="shared" si="4"/>
        <v>0</v>
      </c>
      <c r="I13" s="45"/>
      <c r="J13" s="39"/>
      <c r="K13" s="46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ht="15" hidden="1">
      <c r="A14" s="1">
        <v>1</v>
      </c>
      <c r="B14" s="41"/>
      <c r="C14" s="41"/>
      <c r="D14" s="42"/>
      <c r="E14" s="43"/>
      <c r="F14" s="43"/>
      <c r="G14" s="36"/>
      <c r="H14" s="44">
        <f t="shared" si="4"/>
        <v>0</v>
      </c>
      <c r="I14" s="45"/>
      <c r="J14" s="39"/>
      <c r="K14" s="46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ht="15" hidden="1">
      <c r="A15" s="1">
        <v>1</v>
      </c>
      <c r="B15" s="41"/>
      <c r="C15" s="41"/>
      <c r="D15" s="42"/>
      <c r="E15" s="56"/>
      <c r="F15" s="43"/>
      <c r="G15" s="36"/>
      <c r="H15" s="44">
        <f t="shared" si="4"/>
        <v>0</v>
      </c>
      <c r="I15" s="45"/>
      <c r="J15" s="39"/>
      <c r="K15" s="46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ht="15" hidden="1">
      <c r="A16" s="1">
        <v>1</v>
      </c>
      <c r="B16" s="41"/>
      <c r="C16" s="41"/>
      <c r="D16" s="42"/>
      <c r="E16" s="56"/>
      <c r="F16" s="43"/>
      <c r="G16" s="36"/>
      <c r="H16" s="44">
        <f t="shared" si="4"/>
        <v>0</v>
      </c>
      <c r="I16" s="45"/>
      <c r="J16" s="39"/>
      <c r="K16" s="46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ht="15" hidden="1">
      <c r="A17" s="1">
        <v>1</v>
      </c>
      <c r="B17" s="41"/>
      <c r="C17" s="41"/>
      <c r="D17" s="42"/>
      <c r="E17" s="56"/>
      <c r="F17" s="43"/>
      <c r="G17" s="36"/>
      <c r="H17" s="44">
        <f t="shared" si="4"/>
        <v>0</v>
      </c>
      <c r="I17" s="57"/>
      <c r="J17" s="58"/>
      <c r="K17" s="46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ht="15">
      <c r="A18" s="1" t="str">
        <f t="shared" si="0"/>
        <v>0</v>
      </c>
      <c r="B18" s="59" t="s">
        <v>17</v>
      </c>
      <c r="C18" s="59"/>
      <c r="D18" s="60">
        <f>SUBTOTAL(9,D7:D17)</f>
        <v>0</v>
      </c>
      <c r="E18" s="61"/>
      <c r="F18" s="62">
        <f>SUBTOTAL(9,F6:F17)</f>
        <v>0</v>
      </c>
      <c r="G18" s="63"/>
      <c r="H18" s="44">
        <f>SUM(H7:H17)</f>
        <v>0</v>
      </c>
      <c r="I18" s="64"/>
      <c r="J18" s="39"/>
      <c r="K18" s="46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ht="15">
      <c r="A19" s="1">
        <v>1</v>
      </c>
      <c r="B19" s="22" t="s">
        <v>18</v>
      </c>
      <c r="D19" s="65"/>
      <c r="F19" s="66"/>
      <c r="H19" s="67">
        <f>'[1]Sub Calc _revised'!D14</f>
        <v>1.2058</v>
      </c>
      <c r="I19" s="38"/>
      <c r="K19" s="46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ht="15">
      <c r="A20" s="1" t="str">
        <f t="shared" si="0"/>
        <v>0</v>
      </c>
      <c r="B20" s="41"/>
      <c r="C20" s="41"/>
      <c r="D20" s="42"/>
      <c r="E20" s="50"/>
      <c r="F20" s="43">
        <f t="shared" ref="F20" si="5">D20*E20</f>
        <v>0</v>
      </c>
      <c r="G20" s="36"/>
      <c r="H20" s="44">
        <f t="shared" ref="H20" si="6">ROUND(+F20*(H$19+100%)+(F20*1.0351*8%),2)</f>
        <v>0</v>
      </c>
      <c r="I20" s="38"/>
      <c r="J20" s="39"/>
      <c r="K20" s="46">
        <f>SUM(L20:U20)</f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ht="15">
      <c r="A21" s="1" t="str">
        <f t="shared" si="0"/>
        <v>1</v>
      </c>
      <c r="B21" s="68" t="s">
        <v>19</v>
      </c>
      <c r="C21" s="69" t="s">
        <v>20</v>
      </c>
      <c r="D21" s="70">
        <f>'[1]JP Week 1'!N10+'[1]JP Week 2'!N9+'[1]JP Week 3'!N9+'[1]JP Week 4'!N9+'[1]JP Week 5'!N9</f>
        <v>144</v>
      </c>
      <c r="E21" s="71">
        <v>76.22</v>
      </c>
      <c r="F21" s="43">
        <f>D21*E21</f>
        <v>10975.68</v>
      </c>
      <c r="G21" s="36"/>
      <c r="H21" s="44">
        <f>D21*E21*(1+H19)*1.08</f>
        <v>26146.967339520004</v>
      </c>
      <c r="I21" s="64">
        <f>(D21+D23+D24)*E21*H19</f>
        <v>13234.474944</v>
      </c>
      <c r="J21" s="39"/>
      <c r="K21" s="46">
        <f>SUM(L21:U21)</f>
        <v>0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ht="15" hidden="1">
      <c r="B22" s="68" t="s">
        <v>21</v>
      </c>
      <c r="C22" s="69" t="s">
        <v>20</v>
      </c>
      <c r="D22" s="72">
        <f>'[1]JP Week 5'!N10</f>
        <v>0</v>
      </c>
      <c r="E22" s="71">
        <v>74</v>
      </c>
      <c r="F22" s="43">
        <f t="shared" ref="F22:F25" si="7">D22*E22</f>
        <v>0</v>
      </c>
      <c r="G22" s="36"/>
      <c r="H22" s="44"/>
      <c r="I22" s="64"/>
      <c r="J22" s="39"/>
      <c r="K22" s="46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ht="15">
      <c r="B23" s="68" t="s">
        <v>22</v>
      </c>
      <c r="C23" s="69" t="s">
        <v>20</v>
      </c>
      <c r="D23" s="72">
        <f>'[1]JP Week 1'!N11+'[1]JP Week 2'!N10+'[1]JP Week 3'!N10+'[1]JP Week 4'!N10+'[1]JP Week 5'!N11</f>
        <v>0</v>
      </c>
      <c r="E23" s="71">
        <f>E21</f>
        <v>76.22</v>
      </c>
      <c r="F23" s="43">
        <f t="shared" si="7"/>
        <v>0</v>
      </c>
      <c r="G23" s="36"/>
      <c r="H23" s="44">
        <f>D23*E21*(1+H19)*1.08+D23*(E23-E21)</f>
        <v>0</v>
      </c>
      <c r="I23" s="64">
        <f>(D21+D23+D24)*E21*(1+H19)*0.08</f>
        <v>1936.8123955200001</v>
      </c>
      <c r="J23" s="39"/>
      <c r="K23" s="46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ht="15">
      <c r="B24" s="68" t="s">
        <v>23</v>
      </c>
      <c r="C24" s="69" t="s">
        <v>20</v>
      </c>
      <c r="D24" s="72">
        <f>'[1]JP Week 1'!N12+'[1]JP Week 2'!N11+'[1]JP Week 3'!N11+'[1]JP Week 4'!N11+'[1]JP Week 5'!N12</f>
        <v>0</v>
      </c>
      <c r="E24" s="71">
        <f>E23</f>
        <v>76.22</v>
      </c>
      <c r="F24" s="43">
        <f t="shared" si="7"/>
        <v>0</v>
      </c>
      <c r="G24" s="36"/>
      <c r="H24" s="44">
        <f>D24*E21*(1+H19)*1.08+D24*(E24-E21)</f>
        <v>0</v>
      </c>
      <c r="I24" s="38"/>
      <c r="J24" s="39"/>
      <c r="K24" s="46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ht="15">
      <c r="A25" s="1">
        <v>1</v>
      </c>
      <c r="B25" s="41"/>
      <c r="C25" s="41"/>
      <c r="D25" s="42"/>
      <c r="E25" s="50"/>
      <c r="F25" s="43">
        <f t="shared" si="7"/>
        <v>0</v>
      </c>
      <c r="G25" s="36"/>
      <c r="H25" s="44">
        <f>ROUND(+F25*(H$19+100%)+(F25*1.0351*8%),2)</f>
        <v>0</v>
      </c>
      <c r="I25" s="38"/>
      <c r="J25" s="39"/>
      <c r="K25" s="46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ht="15">
      <c r="A26" s="1">
        <v>1</v>
      </c>
      <c r="B26" s="59" t="s">
        <v>24</v>
      </c>
      <c r="C26" s="59"/>
      <c r="D26" s="60">
        <f>SUBTOTAL(9,D20:D25)</f>
        <v>144</v>
      </c>
      <c r="E26" s="61"/>
      <c r="F26" s="73">
        <f>SUBTOTAL(9,F20:F25)</f>
        <v>10975.68</v>
      </c>
      <c r="G26" s="74"/>
      <c r="H26" s="75">
        <f>SUM(H20:H25)</f>
        <v>26146.967339520004</v>
      </c>
      <c r="I26" s="64">
        <f>H26-I23</f>
        <v>24210.154944000005</v>
      </c>
      <c r="J26" s="39"/>
      <c r="K26" s="46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ht="15">
      <c r="A27" s="1">
        <v>1</v>
      </c>
      <c r="D27" s="76"/>
      <c r="F27" s="77"/>
      <c r="H27" s="17"/>
      <c r="I27" s="38"/>
      <c r="K27" s="46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ht="16" thickBot="1">
      <c r="A28" s="1">
        <v>1</v>
      </c>
      <c r="D28" s="65"/>
      <c r="F28" s="66"/>
      <c r="H28" s="78"/>
      <c r="I28" s="79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ht="18" customHeight="1" thickTop="1">
      <c r="A29" s="1">
        <v>1</v>
      </c>
      <c r="B29" s="80" t="s">
        <v>25</v>
      </c>
      <c r="C29" s="59"/>
      <c r="D29" s="60">
        <f>SUBTOTAL(9,D7:D28)</f>
        <v>144</v>
      </c>
      <c r="E29" s="61"/>
      <c r="F29" s="73">
        <f>SUBTOTAL(9,F7:F28)</f>
        <v>10975.68</v>
      </c>
      <c r="G29" s="74"/>
      <c r="H29" s="81">
        <f>H18+H26+0</f>
        <v>26146.967339520004</v>
      </c>
      <c r="I29" s="79" t="s">
        <v>26</v>
      </c>
      <c r="K29" s="82"/>
      <c r="L29" s="46"/>
      <c r="M29" s="83">
        <f>SUM(M7:M28)</f>
        <v>0</v>
      </c>
      <c r="N29" s="83">
        <f>SUM(N7:N28)</f>
        <v>0</v>
      </c>
      <c r="O29" s="83">
        <f>SUM(O7:O28)</f>
        <v>0</v>
      </c>
      <c r="P29" s="83">
        <f>SUM(P7:P28)</f>
        <v>0</v>
      </c>
      <c r="Q29" s="83">
        <f>SUM(Q7:Q28)</f>
        <v>0</v>
      </c>
      <c r="R29" s="83">
        <f>SUM(R8:R28)</f>
        <v>0</v>
      </c>
      <c r="S29" s="83">
        <f>SUM(S8:S28)</f>
        <v>0</v>
      </c>
      <c r="T29" s="83">
        <f>SUM(T8:T28)</f>
        <v>0</v>
      </c>
      <c r="U29" s="83">
        <f>SUM(U8:U28)</f>
        <v>0</v>
      </c>
    </row>
    <row r="30" spans="1:21">
      <c r="A30" s="1">
        <v>1</v>
      </c>
      <c r="H30" s="84">
        <f>+'[1]Sub Calc'!H31</f>
        <v>0</v>
      </c>
      <c r="I30" s="79" t="s">
        <v>27</v>
      </c>
    </row>
    <row r="31" spans="1:21" ht="15" thickBot="1">
      <c r="A31" s="1">
        <v>1</v>
      </c>
      <c r="H31" s="85">
        <f>SUM(H29:H30)</f>
        <v>26146.967339520004</v>
      </c>
      <c r="I31" s="79" t="s">
        <v>28</v>
      </c>
    </row>
    <row r="32" spans="1:21" ht="15" thickTop="1">
      <c r="H32" s="84"/>
      <c r="I32" s="79"/>
    </row>
    <row r="33" spans="8:9" ht="15" thickBot="1">
      <c r="H33" s="86"/>
      <c r="I33" s="79"/>
    </row>
    <row r="34" spans="8:9" ht="15" thickTop="1">
      <c r="H34" s="87"/>
    </row>
  </sheetData>
  <autoFilter ref="A4:A31" xr:uid="{00000000-0001-0000-0300-000000000000}"/>
  <pageMargins left="0.5" right="0.5" top="1" bottom="1" header="0.5" footer="0.5"/>
  <pageSetup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 Labor</vt:lpstr>
      <vt:lpstr>consultant</vt:lpstr>
      <vt:lpstr>'Sub Labor'!Print_Area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2026-06-25T22:24:07Z</dcterms:created>
  <dcterms:modified xsi:type="dcterms:W3CDTF">2026-06-25T22:24:28Z</dcterms:modified>
</cp:coreProperties>
</file>