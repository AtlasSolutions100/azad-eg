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32B348B0-39CE-D44E-806D-5F79265846B0}" xr6:coauthVersionLast="47" xr6:coauthVersionMax="47" xr10:uidLastSave="{00000000-0000-0000-0000-000000000000}"/>
  <bookViews>
    <workbookView xWindow="780" yWindow="1100" windowWidth="27640" windowHeight="16160" xr2:uid="{3DEB80D1-B89A-CA45-8030-BA6BBE31E39A}"/>
  </bookViews>
  <sheets>
    <sheet name="Invoice" sheetId="1" r:id="rId1"/>
  </sheets>
  <externalReferences>
    <externalReference r:id="rId2"/>
  </externalReferences>
  <definedNames>
    <definedName name="amt">#REF!</definedName>
    <definedName name="BSIWhichPageSetup" hidden="1">1</definedName>
    <definedName name="BSIWhichPageSetup_0" hidden="1">"0þ"</definedName>
    <definedName name="caddate">#REF!</definedName>
    <definedName name="contno">#REF!</definedName>
    <definedName name="FEEBAL">'[1]Sub Calc'!#REF!</definedName>
    <definedName name="invdate">#REF!</definedName>
    <definedName name="invno">#REF!</definedName>
    <definedName name="INVOICE">'[1]Sub Calc'!$H$51</definedName>
    <definedName name="month">#REF!</definedName>
    <definedName name="pm">#REF!</definedName>
    <definedName name="_xlnm.Print_Area" localSheetId="0">Invoice!$A$1:$O$46</definedName>
    <definedName name="proj">#REF!</definedName>
    <definedName name="projno">#REF!</definedName>
    <definedName name="wscope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6" i="1" l="1"/>
  <c r="L30" i="1"/>
  <c r="J35" i="1" s="1"/>
  <c r="J37" i="1" s="1"/>
  <c r="J38" i="1" s="1"/>
  <c r="L27" i="1"/>
  <c r="H24" i="1"/>
  <c r="B24" i="1"/>
  <c r="L10" i="1"/>
  <c r="L6" i="1" l="1"/>
  <c r="M45" i="1"/>
</calcChain>
</file>

<file path=xl/sharedStrings.xml><?xml version="1.0" encoding="utf-8"?>
<sst xmlns="http://schemas.openxmlformats.org/spreadsheetml/2006/main" count="43" uniqueCount="43">
  <si>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</si>
  <si>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</si>
  <si>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</si>
  <si>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</si>
  <si>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</si>
  <si>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</si>
  <si>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</si>
  <si>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</si>
  <si>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</si>
  <si>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mahsa@azadeng.com</t>
  </si>
  <si>
    <t>Sub Invoice Number: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</si>
  <si>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</si>
  <si>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</si>
  <si>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</si>
  <si>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</si>
  <si>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</si>
  <si>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</si>
  <si>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</si>
  <si>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</si>
  <si>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</si>
  <si>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</si>
  <si>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</si>
  <si>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</si>
  <si>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Train Control and Communication Projects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</si>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</sst>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2">
    <font>
      <sz val="12"/>
      <name val="Helv"/>
    </font>
    <font>
      <sz val="11"/>
      <color theme="1"/>
      <name val="Calibri"/>
      <family val="2"/>
      <scheme val="minor"/>
    </font>
    <font>
      <b/>
      <i/>
      <u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sz val="11"/>
      <color rgb="FFFFFF0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u/>
      <sz val="12"/>
      <color theme="10"/>
      <name val="Helv"/>
    </font>
    <font>
      <u/>
      <sz val="12"/>
      <color theme="1"/>
      <name val="Helv"/>
    </font>
    <font>
      <b/>
      <sz val="9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rgb="FFFFFF00"/>
      <name val="Arial"/>
      <family val="2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i/>
      <sz val="11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92">
    <xf numFmtId="0" fontId="0" fillId="0" borderId="0" xfId="0"/>
    <xf numFmtId="0" fontId="2" fillId="0" borderId="0" xfId="4" applyFont="1" applyAlignment="1">
      <alignment horizontal="center"/>
    </xf>
    <xf numFmtId="0" fontId="3" fillId="0" borderId="0" xfId="4" applyFont="1"/>
    <xf numFmtId="0" fontId="4" fillId="0" borderId="0" xfId="4" applyFont="1"/>
    <xf numFmtId="0" fontId="5" fillId="0" borderId="0" xfId="4" applyFont="1"/>
    <xf numFmtId="0" fontId="4" fillId="0" borderId="1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5" xfId="4" applyFont="1" applyBorder="1" applyAlignment="1">
      <alignment horizontal="left"/>
    </xf>
    <xf numFmtId="0" fontId="4" fillId="0" borderId="6" xfId="4" applyFont="1" applyBorder="1" applyAlignment="1">
      <alignment horizontal="left"/>
    </xf>
    <xf numFmtId="0" fontId="4" fillId="0" borderId="0" xfId="4" applyFont="1" applyAlignment="1">
      <alignment horizontal="center"/>
    </xf>
    <xf numFmtId="15" fontId="6" fillId="0" borderId="0" xfId="4" applyNumberFormat="1" applyFont="1"/>
    <xf numFmtId="14" fontId="4" fillId="2" borderId="4" xfId="4" applyNumberFormat="1" applyFont="1" applyFill="1" applyBorder="1" applyAlignment="1">
      <alignment horizontal="left" indent="1"/>
    </xf>
    <xf numFmtId="0" fontId="4" fillId="2" borderId="5" xfId="4" applyFont="1" applyFill="1" applyBorder="1" applyAlignment="1">
      <alignment horizontal="left" indent="1"/>
    </xf>
    <xf numFmtId="0" fontId="4" fillId="2" borderId="6" xfId="4" applyFont="1" applyFill="1" applyBorder="1" applyAlignment="1">
      <alignment horizontal="left" indent="1"/>
    </xf>
    <xf numFmtId="0" fontId="6" fillId="0" borderId="0" xfId="4" applyFont="1" applyAlignment="1">
      <alignment horizontal="right"/>
    </xf>
    <xf numFmtId="0" fontId="7" fillId="0" borderId="0" xfId="4" applyFont="1"/>
    <xf numFmtId="0" fontId="3" fillId="0" borderId="0" xfId="4" applyFont="1" applyAlignment="1">
      <alignment horizontal="left"/>
    </xf>
    <xf numFmtId="0" fontId="4" fillId="0" borderId="1" xfId="4" applyFont="1" applyBorder="1"/>
    <xf numFmtId="0" fontId="4" fillId="0" borderId="2" xfId="4" applyFont="1" applyBorder="1"/>
    <xf numFmtId="0" fontId="4" fillId="0" borderId="3" xfId="4" applyFont="1" applyBorder="1"/>
    <xf numFmtId="0" fontId="8" fillId="0" borderId="4" xfId="5" quotePrefix="1" applyFont="1" applyBorder="1" applyAlignment="1">
      <alignment horizontal="left" indent="1"/>
    </xf>
    <xf numFmtId="0" fontId="8" fillId="0" borderId="5" xfId="5" quotePrefix="1" applyFont="1" applyBorder="1" applyAlignment="1">
      <alignment horizontal="left" indent="1"/>
    </xf>
    <xf numFmtId="0" fontId="8" fillId="0" borderId="6" xfId="5" quotePrefix="1" applyFont="1" applyBorder="1" applyAlignment="1">
      <alignment horizontal="left" indent="1"/>
    </xf>
    <xf numFmtId="0" fontId="10" fillId="0" borderId="0" xfId="3" applyFont="1"/>
    <xf numFmtId="0" fontId="4" fillId="0" borderId="7" xfId="4" quotePrefix="1" applyFont="1" applyBorder="1" applyAlignment="1">
      <alignment horizontal="left"/>
    </xf>
    <xf numFmtId="0" fontId="6" fillId="0" borderId="0" xfId="4" applyFont="1"/>
    <xf numFmtId="0" fontId="8" fillId="2" borderId="4" xfId="4" quotePrefix="1" applyFont="1" applyFill="1" applyBorder="1" applyAlignment="1">
      <alignment horizontal="left"/>
    </xf>
    <xf numFmtId="0" fontId="8" fillId="2" borderId="5" xfId="4" quotePrefix="1" applyFont="1" applyFill="1" applyBorder="1" applyAlignment="1">
      <alignment horizontal="left"/>
    </xf>
    <xf numFmtId="0" fontId="8" fillId="2" borderId="6" xfId="4" quotePrefix="1" applyFont="1" applyFill="1" applyBorder="1" applyAlignment="1">
      <alignment horizontal="left"/>
    </xf>
    <xf numFmtId="0" fontId="11" fillId="0" borderId="1" xfId="4" applyFont="1" applyBorder="1" applyAlignment="1">
      <alignment horizontal="center" vertical="center"/>
    </xf>
    <xf numFmtId="0" fontId="11" fillId="0" borderId="2" xfId="4" applyFont="1" applyBorder="1" applyAlignment="1">
      <alignment horizontal="center" vertical="center"/>
    </xf>
    <xf numFmtId="0" fontId="11" fillId="0" borderId="3" xfId="4" applyFont="1" applyBorder="1" applyAlignment="1">
      <alignment horizontal="center" vertical="center"/>
    </xf>
    <xf numFmtId="0" fontId="11" fillId="0" borderId="4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2" fillId="0" borderId="0" xfId="6" applyFont="1"/>
    <xf numFmtId="0" fontId="7" fillId="0" borderId="0" xfId="7" applyFont="1"/>
    <xf numFmtId="0" fontId="3" fillId="0" borderId="0" xfId="7" applyFont="1"/>
    <xf numFmtId="0" fontId="3" fillId="0" borderId="2" xfId="4" applyFont="1" applyBorder="1"/>
    <xf numFmtId="0" fontId="3" fillId="0" borderId="3" xfId="4" applyFont="1" applyBorder="1"/>
    <xf numFmtId="0" fontId="13" fillId="0" borderId="0" xfId="0" applyFont="1"/>
    <xf numFmtId="0" fontId="4" fillId="0" borderId="8" xfId="4" applyFont="1" applyBorder="1"/>
    <xf numFmtId="0" fontId="3" fillId="0" borderId="5" xfId="4" applyFont="1" applyBorder="1" applyAlignment="1">
      <alignment horizontal="left" wrapText="1"/>
    </xf>
    <xf numFmtId="0" fontId="3" fillId="0" borderId="6" xfId="4" applyFont="1" applyBorder="1" applyAlignment="1">
      <alignment horizontal="left" wrapText="1"/>
    </xf>
    <xf numFmtId="0" fontId="3" fillId="0" borderId="4" xfId="4" applyFont="1" applyBorder="1" applyAlignment="1">
      <alignment horizontal="left" vertical="center" wrapText="1"/>
    </xf>
    <xf numFmtId="0" fontId="3" fillId="0" borderId="5" xfId="4" applyFont="1" applyBorder="1" applyAlignment="1">
      <alignment horizontal="left" vertical="center" wrapText="1"/>
    </xf>
    <xf numFmtId="0" fontId="3" fillId="0" borderId="6" xfId="4" applyFont="1" applyBorder="1" applyAlignment="1">
      <alignment horizontal="left" vertical="center" wrapText="1"/>
    </xf>
    <xf numFmtId="14" fontId="3" fillId="2" borderId="9" xfId="4" applyNumberFormat="1" applyFont="1" applyFill="1" applyBorder="1" applyAlignment="1">
      <alignment horizontal="right"/>
    </xf>
    <xf numFmtId="0" fontId="3" fillId="2" borderId="10" xfId="4" applyFont="1" applyFill="1" applyBorder="1" applyAlignment="1">
      <alignment horizontal="right"/>
    </xf>
    <xf numFmtId="0" fontId="14" fillId="2" borderId="10" xfId="4" applyFont="1" applyFill="1" applyBorder="1" applyAlignment="1">
      <alignment horizontal="center"/>
    </xf>
    <xf numFmtId="14" fontId="3" fillId="2" borderId="10" xfId="4" applyNumberFormat="1" applyFont="1" applyFill="1" applyBorder="1" applyAlignment="1">
      <alignment horizontal="left"/>
    </xf>
    <xf numFmtId="0" fontId="3" fillId="2" borderId="10" xfId="4" applyFont="1" applyFill="1" applyBorder="1" applyAlignment="1">
      <alignment horizontal="left"/>
    </xf>
    <xf numFmtId="0" fontId="3" fillId="2" borderId="11" xfId="4" applyFont="1" applyFill="1" applyBorder="1" applyAlignment="1">
      <alignment horizontal="left"/>
    </xf>
    <xf numFmtId="0" fontId="3" fillId="0" borderId="5" xfId="4" applyFont="1" applyBorder="1"/>
    <xf numFmtId="0" fontId="3" fillId="0" borderId="6" xfId="4" applyFont="1" applyBorder="1"/>
    <xf numFmtId="0" fontId="15" fillId="0" borderId="4" xfId="4" applyFont="1" applyBorder="1" applyAlignment="1">
      <alignment horizontal="left"/>
    </xf>
    <xf numFmtId="0" fontId="15" fillId="0" borderId="5" xfId="4" applyFont="1" applyBorder="1" applyAlignment="1">
      <alignment horizontal="left"/>
    </xf>
    <xf numFmtId="0" fontId="15" fillId="0" borderId="12" xfId="4" applyFont="1" applyBorder="1" applyAlignment="1">
      <alignment horizontal="left"/>
    </xf>
    <xf numFmtId="0" fontId="15" fillId="0" borderId="13" xfId="4" applyFont="1" applyBorder="1" applyAlignment="1">
      <alignment horizontal="left"/>
    </xf>
    <xf numFmtId="0" fontId="3" fillId="0" borderId="1" xfId="4" applyFont="1" applyBorder="1"/>
    <xf numFmtId="16" fontId="3" fillId="0" borderId="8" xfId="4" quotePrefix="1" applyNumberFormat="1" applyFont="1" applyBorder="1" applyAlignment="1">
      <alignment horizontal="center"/>
    </xf>
    <xf numFmtId="0" fontId="3" fillId="0" borderId="0" xfId="4" applyFont="1" applyAlignment="1">
      <alignment horizontal="left"/>
    </xf>
    <xf numFmtId="44" fontId="3" fillId="0" borderId="0" xfId="2" applyFont="1" applyBorder="1" applyAlignment="1">
      <alignment horizontal="left"/>
    </xf>
    <xf numFmtId="0" fontId="3" fillId="0" borderId="14" xfId="4" applyFont="1" applyBorder="1"/>
    <xf numFmtId="0" fontId="3" fillId="0" borderId="8" xfId="4" applyFont="1" applyBorder="1"/>
    <xf numFmtId="0" fontId="3" fillId="0" borderId="5" xfId="4" applyFont="1" applyBorder="1" applyAlignment="1">
      <alignment horizontal="center"/>
    </xf>
    <xf numFmtId="0" fontId="16" fillId="0" borderId="0" xfId="4" applyFont="1" applyAlignment="1">
      <alignment horizontal="right"/>
    </xf>
    <xf numFmtId="44" fontId="4" fillId="0" borderId="15" xfId="4" applyNumberFormat="1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2" fontId="4" fillId="0" borderId="0" xfId="4" applyNumberFormat="1" applyFont="1"/>
    <xf numFmtId="44" fontId="17" fillId="0" borderId="0" xfId="4" applyNumberFormat="1" applyFont="1"/>
    <xf numFmtId="44" fontId="4" fillId="0" borderId="0" xfId="4" applyNumberFormat="1" applyFont="1" applyAlignment="1">
      <alignment horizontal="center"/>
    </xf>
    <xf numFmtId="0" fontId="4" fillId="0" borderId="0" xfId="4" applyFont="1" applyAlignment="1">
      <alignment horizontal="center"/>
    </xf>
    <xf numFmtId="0" fontId="18" fillId="0" borderId="8" xfId="4" applyFont="1" applyBorder="1" applyAlignment="1">
      <alignment horizontal="center"/>
    </xf>
    <xf numFmtId="0" fontId="18" fillId="0" borderId="0" xfId="4" applyFont="1" applyAlignment="1">
      <alignment horizontal="center"/>
    </xf>
    <xf numFmtId="44" fontId="3" fillId="0" borderId="0" xfId="2" applyFont="1" applyBorder="1" applyAlignment="1">
      <alignment horizontal="center"/>
    </xf>
    <xf numFmtId="43" fontId="19" fillId="0" borderId="0" xfId="1" applyFont="1"/>
    <xf numFmtId="43" fontId="3" fillId="0" borderId="0" xfId="1" applyFont="1"/>
    <xf numFmtId="44" fontId="3" fillId="3" borderId="0" xfId="2" applyFont="1" applyFill="1" applyBorder="1" applyAlignment="1">
      <alignment horizontal="center"/>
    </xf>
    <xf numFmtId="44" fontId="20" fillId="0" borderId="15" xfId="4" applyNumberFormat="1" applyFont="1" applyBorder="1" applyAlignment="1">
      <alignment horizontal="center"/>
    </xf>
    <xf numFmtId="0" fontId="20" fillId="0" borderId="15" xfId="4" applyFont="1" applyBorder="1" applyAlignment="1">
      <alignment horizontal="center"/>
    </xf>
    <xf numFmtId="0" fontId="19" fillId="0" borderId="0" xfId="4" applyFont="1"/>
    <xf numFmtId="44" fontId="3" fillId="0" borderId="0" xfId="4" applyNumberFormat="1" applyFont="1" applyAlignment="1">
      <alignment horizontal="center"/>
    </xf>
    <xf numFmtId="0" fontId="3" fillId="0" borderId="0" xfId="4" applyFont="1" applyAlignment="1">
      <alignment horizontal="center"/>
    </xf>
    <xf numFmtId="0" fontId="3" fillId="0" borderId="4" xfId="4" applyFont="1" applyBorder="1"/>
    <xf numFmtId="0" fontId="3" fillId="0" borderId="0" xfId="4" applyFont="1" applyAlignment="1">
      <alignment horizontal="left" wrapText="1"/>
    </xf>
    <xf numFmtId="0" fontId="3" fillId="0" borderId="0" xfId="4" applyFont="1" applyAlignment="1">
      <alignment horizontal="left" wrapText="1"/>
    </xf>
    <xf numFmtId="14" fontId="3" fillId="0" borderId="5" xfId="4" applyNumberFormat="1" applyFont="1" applyBorder="1" applyAlignment="1">
      <alignment horizontal="center"/>
    </xf>
    <xf numFmtId="0" fontId="3" fillId="0" borderId="0" xfId="4" applyFont="1" applyAlignment="1">
      <alignment horizontal="center"/>
    </xf>
    <xf numFmtId="0" fontId="21" fillId="0" borderId="0" xfId="4" applyFont="1" applyAlignment="1">
      <alignment horizontal="center"/>
    </xf>
  </cellXfs>
  <cellStyles count="8">
    <cellStyle name="Comma" xfId="1" builtinId="3"/>
    <cellStyle name="Currency" xfId="2" builtinId="4"/>
    <cellStyle name="Hyperlink" xfId="3" builtinId="8"/>
    <cellStyle name="Normal" xfId="0" builtinId="0"/>
    <cellStyle name="Normal 3" xfId="4" xr:uid="{46EAB3AE-3B96-2E46-83AA-2A406B9355CB}"/>
    <cellStyle name="Normal 3 10" xfId="7" xr:uid="{0E24260C-BCAE-4143-A4D5-66955513B174}"/>
    <cellStyle name="Normal 3 2 3 2" xfId="6" xr:uid="{D2FEBB86-A47F-C849-A037-509328732FDA}"/>
    <cellStyle name="Normal 3 9" xfId="5" xr:uid="{E01DE47A-C61A-894D-BBD4-DA8A103239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78D25-4EF9-464E-B859-DBD7BF781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5" y="488950"/>
          <a:ext cx="1438275" cy="34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EAAB4-9609-7344-A7AA-E6E52626AFF0}"/>
            </a:ext>
            <a:ext uri="{147F2762-F138-4A5C-976F-8EAC2B608ADB}">
              <a16:predDERef xmlns:a16="http://schemas.microsoft.com/office/drawing/2014/main" pred="{E95FC389-3546-4A97-98A7-63E696FBB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3599" t="27800" r="1067" b="30605"/>
        <a:stretch>
          <a:fillRect/>
        </a:stretch>
      </xdr:blipFill>
      <xdr:spPr>
        <a:xfrm>
          <a:off x="177800" y="8318500"/>
          <a:ext cx="1863725" cy="508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izmora/Downloads/SAMPLE%20INVOICE%2005-2026-BART6M8178-WSP-A.04.01-Invoice_AZAD-12%20(Jordy%20Peralta)%20Revised-%20.xlsm" TargetMode="External"/><Relationship Id="rId1" Type="http://schemas.openxmlformats.org/officeDocument/2006/relationships/externalLinkPath" Target="SAMPLE%20INVOICE%2005-2026-BART6M8178-WSP-A.04.01-Invoice_AZAD-12%20(Jordy%20Peralta)%20Revised-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"/>
      <sheetName val="Invoice"/>
      <sheetName val="Sub Calc _revised"/>
      <sheetName val="Progress Report"/>
      <sheetName val="Sub Calc"/>
      <sheetName val="Sub Labor"/>
      <sheetName val="Prime ODCs"/>
      <sheetName val="ODC"/>
      <sheetName val="MISC"/>
      <sheetName val="JP Week 1"/>
      <sheetName val="JP Week 2"/>
      <sheetName val="JP Week 3"/>
      <sheetName val="JP Week 4"/>
      <sheetName val="JP Week6"/>
      <sheetName val="JP Week 5"/>
    </sheetNames>
    <sheetDataSet>
      <sheetData sheetId="0">
        <row r="3">
          <cell r="C3" t="str">
            <v xml:space="preserve"> A.04-02-12</v>
          </cell>
        </row>
        <row r="4">
          <cell r="C4">
            <v>46198</v>
          </cell>
        </row>
        <row r="6">
          <cell r="D6">
            <v>46137</v>
          </cell>
          <cell r="G6">
            <v>46171</v>
          </cell>
        </row>
      </sheetData>
      <sheetData sheetId="1"/>
      <sheetData sheetId="2">
        <row r="51">
          <cell r="H51">
            <v>26189.777339520002</v>
          </cell>
          <cell r="I51">
            <v>152693.26</v>
          </cell>
        </row>
      </sheetData>
      <sheetData sheetId="3"/>
      <sheetData sheetId="4">
        <row r="51">
          <cell r="H51">
            <v>26146.967339520001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hsa@azade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F237-77BF-0845-A7C7-D9E4CF922D7F}">
  <sheetPr codeName="Sheet1">
    <tabColor rgb="FF92D050"/>
    <pageSetUpPr fitToPage="1"/>
  </sheetPr>
  <dimension ref="B1:T49"/>
  <sheetViews>
    <sheetView showGridLines="0" tabSelected="1" view="pageBreakPreview" zoomScale="79" zoomScaleNormal="100" zoomScaleSheetLayoutView="79" workbookViewId="0">
      <selection activeCell="L30" sqref="L30:N30"/>
    </sheetView>
  </sheetViews>
  <sheetFormatPr baseColWidth="10" defaultColWidth="8.7109375" defaultRowHeight="14"/>
  <cols>
    <col min="1" max="1" width="2" style="2" customWidth="1"/>
    <col min="2" max="4" width="4.7109375" style="2" customWidth="1"/>
    <col min="5" max="10" width="5.42578125" style="2" customWidth="1"/>
    <col min="11" max="11" width="6.7109375" style="2" customWidth="1"/>
    <col min="12" max="12" width="4.7109375" style="2" customWidth="1"/>
    <col min="13" max="13" width="6" style="2" customWidth="1"/>
    <col min="14" max="14" width="5" style="2" customWidth="1"/>
    <col min="15" max="15" width="5.85546875" style="2" customWidth="1"/>
    <col min="16" max="16" width="2.85546875" style="2" customWidth="1"/>
    <col min="17" max="18" width="11.5703125" style="2" customWidth="1"/>
    <col min="19" max="19" width="2.7109375" style="2" customWidth="1"/>
    <col min="20" max="16384" width="8.7109375" style="2"/>
  </cols>
  <sheetData>
    <row r="1" spans="2:20" ht="34.5" customHeight="1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20" ht="17.25" customHeight="1">
      <c r="Q2" s="3"/>
    </row>
    <row r="3" spans="2:20">
      <c r="B3" s="4"/>
      <c r="L3" s="5" t="s">
        <v>1</v>
      </c>
      <c r="M3" s="6"/>
      <c r="N3" s="6"/>
      <c r="O3" s="7"/>
    </row>
    <row r="4" spans="2:20">
      <c r="B4" s="3" t="s">
        <v>2</v>
      </c>
      <c r="L4" s="8"/>
      <c r="M4" s="9"/>
      <c r="N4" s="9"/>
      <c r="O4" s="10"/>
      <c r="Q4" s="11"/>
      <c r="R4" s="11"/>
    </row>
    <row r="5" spans="2:20">
      <c r="B5" s="2" t="s">
        <v>3</v>
      </c>
      <c r="L5" s="5" t="s">
        <v>4</v>
      </c>
      <c r="M5" s="6"/>
      <c r="N5" s="6"/>
      <c r="O5" s="7"/>
      <c r="R5" s="12"/>
    </row>
    <row r="6" spans="2:20">
      <c r="B6" s="2" t="s">
        <v>5</v>
      </c>
      <c r="L6" s="13">
        <f ca="1">'[1]Master File '!C4</f>
        <v>46198</v>
      </c>
      <c r="M6" s="14"/>
      <c r="N6" s="14"/>
      <c r="O6" s="15"/>
      <c r="R6" s="16"/>
      <c r="S6" s="17"/>
      <c r="T6" s="18"/>
    </row>
    <row r="7" spans="2:20">
      <c r="B7" s="2" t="s">
        <v>6</v>
      </c>
      <c r="L7" s="19" t="s">
        <v>7</v>
      </c>
      <c r="M7" s="20"/>
      <c r="N7" s="20"/>
      <c r="O7" s="21"/>
      <c r="R7" s="12"/>
    </row>
    <row r="8" spans="2:20" ht="15.75" customHeight="1">
      <c r="B8" s="2" t="s">
        <v>8</v>
      </c>
      <c r="L8" s="22">
        <v>71994</v>
      </c>
      <c r="M8" s="23"/>
      <c r="N8" s="23"/>
      <c r="O8" s="24"/>
      <c r="R8" s="12"/>
    </row>
    <row r="9" spans="2:20" ht="16">
      <c r="B9" s="25" t="s">
        <v>9</v>
      </c>
      <c r="L9" s="26" t="s">
        <v>10</v>
      </c>
      <c r="M9" s="26"/>
      <c r="N9" s="26"/>
      <c r="O9" s="26"/>
      <c r="R9" s="27"/>
    </row>
    <row r="10" spans="2:20">
      <c r="L10" s="28" t="str">
        <f>'[1]Master File '!C3</f>
        <v xml:space="preserve"> A.04-02-12</v>
      </c>
      <c r="M10" s="29"/>
      <c r="N10" s="29"/>
      <c r="O10" s="30"/>
    </row>
    <row r="11" spans="2:20" ht="15.75" customHeight="1">
      <c r="L11" s="31" t="s">
        <v>11</v>
      </c>
      <c r="M11" s="32"/>
      <c r="N11" s="32"/>
      <c r="O11" s="33"/>
    </row>
    <row r="12" spans="2:20">
      <c r="B12" s="2" t="s">
        <v>12</v>
      </c>
      <c r="D12" s="3" t="s">
        <v>13</v>
      </c>
      <c r="L12" s="34"/>
      <c r="M12" s="35"/>
      <c r="N12" s="35"/>
      <c r="O12" s="36"/>
    </row>
    <row r="13" spans="2:20">
      <c r="D13" s="3" t="s">
        <v>14</v>
      </c>
    </row>
    <row r="14" spans="2:20">
      <c r="D14" s="3" t="s">
        <v>15</v>
      </c>
    </row>
    <row r="15" spans="2:20">
      <c r="D15" s="3" t="s">
        <v>16</v>
      </c>
    </row>
    <row r="16" spans="2:20">
      <c r="D16" s="3"/>
    </row>
    <row r="17" spans="2:18">
      <c r="D17" s="3"/>
    </row>
    <row r="18" spans="2:18" ht="8.5" customHeight="1">
      <c r="D18" s="3"/>
    </row>
    <row r="19" spans="2:18">
      <c r="B19" s="17" t="s">
        <v>17</v>
      </c>
      <c r="C19" s="17"/>
      <c r="D19" s="17"/>
      <c r="E19" s="37" t="s">
        <v>18</v>
      </c>
      <c r="F19" s="38"/>
      <c r="G19" s="37"/>
      <c r="H19" s="39"/>
    </row>
    <row r="21" spans="2:18" ht="15">
      <c r="B21" s="19" t="s">
        <v>19</v>
      </c>
      <c r="C21" s="40"/>
      <c r="D21" s="40"/>
      <c r="E21" s="40" t="s">
        <v>20</v>
      </c>
      <c r="F21" s="40"/>
      <c r="G21" s="40"/>
      <c r="H21" s="40"/>
      <c r="I21" s="40"/>
      <c r="J21" s="40"/>
      <c r="K21" s="41"/>
      <c r="L21" s="19" t="s">
        <v>21</v>
      </c>
      <c r="M21" s="40"/>
      <c r="N21" s="40"/>
      <c r="O21" s="41"/>
      <c r="R21" s="42"/>
    </row>
    <row r="22" spans="2:18" ht="28.5" customHeight="1">
      <c r="B22" s="43" t="s">
        <v>22</v>
      </c>
      <c r="E22" s="44" t="s">
        <v>23</v>
      </c>
      <c r="F22" s="44"/>
      <c r="G22" s="44"/>
      <c r="H22" s="44"/>
      <c r="I22" s="44"/>
      <c r="J22" s="44"/>
      <c r="K22" s="45"/>
      <c r="L22" s="46" t="s">
        <v>24</v>
      </c>
      <c r="M22" s="47"/>
      <c r="N22" s="47"/>
      <c r="O22" s="48"/>
    </row>
    <row r="23" spans="2:18">
      <c r="B23" s="19" t="s">
        <v>25</v>
      </c>
      <c r="C23" s="40"/>
      <c r="D23" s="40"/>
      <c r="E23" s="40"/>
      <c r="F23" s="40"/>
      <c r="G23" s="20"/>
      <c r="H23" s="20"/>
      <c r="I23" s="20"/>
      <c r="J23" s="40"/>
      <c r="K23" s="41"/>
      <c r="L23" s="19" t="s">
        <v>26</v>
      </c>
      <c r="M23" s="40"/>
      <c r="N23" s="40"/>
      <c r="O23" s="41"/>
    </row>
    <row r="24" spans="2:18" ht="15.75" customHeight="1">
      <c r="B24" s="49">
        <f>'[1]Master File '!D6</f>
        <v>46137</v>
      </c>
      <c r="C24" s="50"/>
      <c r="D24" s="50"/>
      <c r="E24" s="50"/>
      <c r="F24" s="50"/>
      <c r="G24" s="51" t="s">
        <v>27</v>
      </c>
      <c r="H24" s="52">
        <f>'[1]Master File '!G6</f>
        <v>46171</v>
      </c>
      <c r="I24" s="53"/>
      <c r="J24" s="53"/>
      <c r="K24" s="54"/>
      <c r="L24" s="55" t="s">
        <v>28</v>
      </c>
      <c r="M24" s="55"/>
      <c r="N24" s="55"/>
      <c r="O24" s="56"/>
    </row>
    <row r="25" spans="2:18" ht="25.5" customHeight="1">
      <c r="B25" s="57" t="s">
        <v>29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  <c r="M25" s="59"/>
      <c r="N25" s="59"/>
      <c r="O25" s="60"/>
    </row>
    <row r="26" spans="2:18">
      <c r="B26" s="61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1"/>
    </row>
    <row r="27" spans="2:18">
      <c r="B27" s="62" t="s">
        <v>30</v>
      </c>
      <c r="C27" s="63" t="s">
        <v>31</v>
      </c>
      <c r="D27" s="63"/>
      <c r="E27" s="63"/>
      <c r="F27" s="63"/>
      <c r="G27" s="63"/>
      <c r="H27" s="63"/>
      <c r="I27" s="63"/>
      <c r="J27" s="63"/>
      <c r="K27" s="63"/>
      <c r="L27" s="64">
        <f>'[1]Sub Calc _revised'!H51</f>
        <v>26189.777339520002</v>
      </c>
      <c r="M27" s="64"/>
      <c r="N27" s="64"/>
      <c r="O27" s="65"/>
    </row>
    <row r="28" spans="2:18">
      <c r="B28" s="62"/>
      <c r="C28" s="18"/>
      <c r="D28" s="18"/>
      <c r="E28" s="18"/>
      <c r="F28" s="18"/>
      <c r="G28" s="18"/>
      <c r="H28" s="18"/>
      <c r="I28" s="18"/>
      <c r="J28" s="18"/>
      <c r="K28" s="18"/>
      <c r="L28" s="64"/>
      <c r="M28" s="64"/>
      <c r="N28" s="64"/>
      <c r="O28" s="65"/>
    </row>
    <row r="29" spans="2:18">
      <c r="B29" s="66"/>
      <c r="L29" s="67"/>
      <c r="M29" s="67"/>
      <c r="N29" s="67"/>
      <c r="O29" s="65"/>
      <c r="Q29" s="68"/>
      <c r="R29" s="68"/>
    </row>
    <row r="30" spans="2:18" ht="15" thickBot="1">
      <c r="B30" s="66"/>
      <c r="D30" s="3" t="s">
        <v>32</v>
      </c>
      <c r="L30" s="69">
        <f>SUM(L27:N29)</f>
        <v>26189.777339520002</v>
      </c>
      <c r="M30" s="70"/>
      <c r="N30" s="70"/>
      <c r="O30" s="65"/>
      <c r="Q30" s="71"/>
      <c r="R30" s="72"/>
    </row>
    <row r="31" spans="2:18" ht="15" thickTop="1">
      <c r="B31" s="66"/>
      <c r="D31" s="3"/>
      <c r="L31" s="73"/>
      <c r="M31" s="74"/>
      <c r="N31" s="74"/>
      <c r="O31" s="65"/>
    </row>
    <row r="32" spans="2:18">
      <c r="B32" s="66"/>
      <c r="D32" s="3"/>
      <c r="L32" s="73"/>
      <c r="M32" s="74"/>
      <c r="N32" s="74"/>
      <c r="O32" s="65"/>
    </row>
    <row r="33" spans="2:18">
      <c r="B33" s="75" t="s">
        <v>33</v>
      </c>
      <c r="C33" s="76"/>
      <c r="D33" s="76"/>
      <c r="E33" s="76"/>
      <c r="M33" s="74"/>
      <c r="N33" s="74"/>
      <c r="O33" s="65"/>
    </row>
    <row r="34" spans="2:18">
      <c r="B34" s="66"/>
      <c r="C34" s="2" t="s">
        <v>34</v>
      </c>
      <c r="J34" s="77">
        <v>156185.34</v>
      </c>
      <c r="K34" s="77"/>
      <c r="L34" s="77"/>
      <c r="M34" s="74"/>
      <c r="N34" s="74"/>
      <c r="O34" s="65"/>
      <c r="Q34" s="78"/>
      <c r="R34" s="79"/>
    </row>
    <row r="35" spans="2:18">
      <c r="B35" s="66"/>
      <c r="C35" s="63" t="s">
        <v>35</v>
      </c>
      <c r="D35" s="63"/>
      <c r="E35" s="63"/>
      <c r="F35" s="63"/>
      <c r="G35" s="63"/>
      <c r="J35" s="77">
        <f>L30</f>
        <v>26189.777339520002</v>
      </c>
      <c r="K35" s="77"/>
      <c r="L35" s="77"/>
      <c r="M35" s="74"/>
      <c r="N35" s="74"/>
      <c r="O35" s="65"/>
    </row>
    <row r="36" spans="2:18">
      <c r="B36" s="66"/>
      <c r="C36" s="63" t="s">
        <v>36</v>
      </c>
      <c r="D36" s="63"/>
      <c r="E36" s="63"/>
      <c r="F36" s="63"/>
      <c r="G36" s="63"/>
      <c r="J36" s="80">
        <f>'[1]Sub Calc _revised'!I51</f>
        <v>152693.26</v>
      </c>
      <c r="K36" s="80"/>
      <c r="L36" s="80"/>
      <c r="M36" s="74"/>
      <c r="N36" s="74"/>
      <c r="O36" s="65"/>
    </row>
    <row r="37" spans="2:18">
      <c r="B37" s="66"/>
      <c r="C37" s="63" t="s">
        <v>37</v>
      </c>
      <c r="D37" s="63"/>
      <c r="E37" s="63"/>
      <c r="F37" s="63"/>
      <c r="G37" s="63"/>
      <c r="J37" s="77">
        <f>J35+J36</f>
        <v>178883.03733952</v>
      </c>
      <c r="K37" s="77"/>
      <c r="L37" s="77"/>
      <c r="M37" s="74"/>
      <c r="N37" s="74"/>
      <c r="O37" s="65"/>
    </row>
    <row r="38" spans="2:18" ht="15" thickBot="1">
      <c r="B38" s="66"/>
      <c r="C38" s="18" t="s">
        <v>38</v>
      </c>
      <c r="D38" s="18"/>
      <c r="E38" s="18"/>
      <c r="F38" s="18"/>
      <c r="G38" s="18"/>
      <c r="J38" s="81">
        <f>+J34-J37</f>
        <v>-22697.697339520004</v>
      </c>
      <c r="K38" s="82"/>
      <c r="L38" s="82"/>
      <c r="O38" s="65"/>
      <c r="P38" s="83"/>
    </row>
    <row r="39" spans="2:18" ht="15" thickTop="1">
      <c r="B39" s="66"/>
      <c r="C39" s="18"/>
      <c r="D39" s="18"/>
      <c r="E39" s="18"/>
      <c r="F39" s="18"/>
      <c r="G39" s="18"/>
      <c r="J39" s="84"/>
      <c r="K39" s="85"/>
      <c r="L39" s="85"/>
      <c r="O39" s="65"/>
    </row>
    <row r="40" spans="2:18">
      <c r="B40" s="86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6"/>
    </row>
    <row r="42" spans="2:18" ht="29.25" customHeight="1">
      <c r="B42" s="87" t="s">
        <v>39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</row>
    <row r="43" spans="2:18" ht="8.25" customHeight="1"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</row>
    <row r="45" spans="2:18" ht="15.5" customHeight="1">
      <c r="B45" s="67"/>
      <c r="C45" s="67"/>
      <c r="D45" s="67"/>
      <c r="E45" s="67"/>
      <c r="F45" s="67"/>
      <c r="G45" s="67"/>
      <c r="M45" s="89">
        <f ca="1">'[1]Master File '!C4</f>
        <v>46198</v>
      </c>
      <c r="N45" s="67"/>
    </row>
    <row r="46" spans="2:18">
      <c r="B46" s="40" t="s">
        <v>40</v>
      </c>
      <c r="C46" s="40"/>
      <c r="D46" s="40" t="s">
        <v>41</v>
      </c>
      <c r="E46" s="40"/>
      <c r="F46" s="40"/>
      <c r="G46" s="40"/>
      <c r="M46" s="90" t="s">
        <v>42</v>
      </c>
      <c r="N46" s="90"/>
    </row>
    <row r="48" spans="2:18"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</row>
    <row r="49" spans="2:15"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</row>
  </sheetData>
  <mergeCells count="32">
    <mergeCell ref="B49:O49"/>
    <mergeCell ref="J38:L38"/>
    <mergeCell ref="B42:O42"/>
    <mergeCell ref="B45:G45"/>
    <mergeCell ref="M45:N45"/>
    <mergeCell ref="M46:N46"/>
    <mergeCell ref="B48:O48"/>
    <mergeCell ref="J34:L34"/>
    <mergeCell ref="C35:G35"/>
    <mergeCell ref="J35:L35"/>
    <mergeCell ref="C36:G36"/>
    <mergeCell ref="J36:L36"/>
    <mergeCell ref="C37:G37"/>
    <mergeCell ref="J37:L37"/>
    <mergeCell ref="C27:K27"/>
    <mergeCell ref="L27:N27"/>
    <mergeCell ref="L28:N28"/>
    <mergeCell ref="L29:N29"/>
    <mergeCell ref="L30:N30"/>
    <mergeCell ref="B33:E33"/>
    <mergeCell ref="L11:O12"/>
    <mergeCell ref="E22:K22"/>
    <mergeCell ref="L22:O22"/>
    <mergeCell ref="B24:F24"/>
    <mergeCell ref="H24:K24"/>
    <mergeCell ref="B25:O25"/>
    <mergeCell ref="B1:O1"/>
    <mergeCell ref="Q4:R4"/>
    <mergeCell ref="L6:O6"/>
    <mergeCell ref="L8:O8"/>
    <mergeCell ref="L9:O9"/>
    <mergeCell ref="L10:O10"/>
  </mergeCells>
  <hyperlinks>
    <hyperlink ref="B9" r:id="rId1" xr:uid="{74AEB269-DC5A-F140-9FF7-F05207148B0D}"/>
  </hyperlinks>
  <pageMargins left="0.7" right="0.7" top="0.64" bottom="0.63" header="0.3" footer="0.3"/>
  <pageSetup scale="94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2026-06-25T22:21:26Z</dcterms:created>
  <dcterms:modified xsi:type="dcterms:W3CDTF">2026-06-25T22:21:48Z</dcterms:modified>
</cp:coreProperties>
</file>