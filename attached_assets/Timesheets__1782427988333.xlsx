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izmora/Downloads/"/>
    </mc:Choice>
  </mc:AlternateContent>
  <xr:revisionPtr revIDLastSave="0" documentId="8_{E8C5F4A5-8797-0445-ADB5-A13084FA703D}" xr6:coauthVersionLast="47" xr6:coauthVersionMax="47" xr10:uidLastSave="{00000000-0000-0000-0000-000000000000}"/>
  <bookViews>
    <workbookView xWindow="780" yWindow="1100" windowWidth="27640" windowHeight="16160" xr2:uid="{3A0E990C-05BF-E84B-96ED-1DBD3E8BA93C}"/>
  </bookViews>
  <sheets>
    <sheet name="JP Week 2" sheetId="1" r:id="rId1"/>
  </sheets>
  <externalReferences>
    <externalReference r:id="rId2"/>
  </externalReferences>
  <definedNames>
    <definedName name="amt">#REF!</definedName>
    <definedName name="BSIWhichPageSetup" hidden="1">1</definedName>
    <definedName name="BSIWhichPageSetup_0" hidden="1">"0þ"</definedName>
    <definedName name="caddate">#REF!</definedName>
    <definedName name="contno">#REF!</definedName>
    <definedName name="FEEBAL">'[1]Sub Calc'!#REF!</definedName>
    <definedName name="invdate">#REF!</definedName>
    <definedName name="invno">#REF!</definedName>
    <definedName name="INVOICE">'[1]Sub Calc'!$H$51</definedName>
    <definedName name="month">#REF!</definedName>
    <definedName name="pm">#REF!</definedName>
    <definedName name="_xlnm.Print_Area" localSheetId="0">'JP Week 2'!$A$1:$O$22</definedName>
    <definedName name="proj">#REF!</definedName>
    <definedName name="projno">#REF!</definedName>
    <definedName name="wscope">#REF!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1" l="1"/>
  <c r="L16" i="1"/>
  <c r="K16" i="1"/>
  <c r="J16" i="1"/>
  <c r="I16" i="1"/>
  <c r="H16" i="1"/>
  <c r="G16" i="1"/>
  <c r="N16" i="1" s="1"/>
  <c r="N14" i="1"/>
  <c r="N13" i="1"/>
  <c r="N12" i="1"/>
  <c r="N11" i="1"/>
  <c r="N10" i="1"/>
  <c r="N9" i="1"/>
  <c r="G6" i="1"/>
  <c r="H6" i="1" s="1"/>
  <c r="I6" i="1" s="1"/>
  <c r="J6" i="1" s="1"/>
  <c r="K6" i="1" s="1"/>
  <c r="L6" i="1" s="1"/>
  <c r="M6" i="1" s="1"/>
  <c r="I5" i="1" s="1"/>
</calcChain>
</file>

<file path=xl/sharedStrings.xml><?xml version="1.0" encoding="utf-8"?>
<sst xmlns="http://schemas.openxmlformats.org/spreadsheetml/2006/main" count="29" uniqueCount="28">
  <si>
    <t>Weekly Timesheet</t>
  </si>
  <si>
    <t>Azad Engineering PC Timesheet</t>
  </si>
  <si>
    <t>Employee Name:</t>
  </si>
  <si>
    <t>Jordy Peralta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</si>
  <si>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</si>
  <si>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</si>
  <si>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</si>
  <si>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</si>
  <si>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</si>
  <si>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</si>
  <si>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</si>
  <si>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</si>
  <si>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</si>
  <si>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</si>
  <si>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</si>
  <si>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t>6M8178 A.04-02</t>
  </si>
  <si>
    <t>Assistant Resident Engineer -Straight Time-Night</t>
  </si>
  <si>
    <r>
      <rPr>
        <sz val="9"/>
        <color rgb="FF000000"/>
        <rFont val="Helvetica Neue"/>
        <family val="2"/>
      </rPr>
      <t>6M8178 A.04-02</t>
    </r>
    <r>
      <rPr>
        <b/>
        <sz val="9"/>
        <color rgb="FF000000"/>
        <rFont val="Helvetica Neue"/>
        <family val="2"/>
      </rPr>
      <t xml:space="preserve"> </t>
    </r>
  </si>
  <si>
    <t>Assistant Resident Engineer - Overtime</t>
  </si>
  <si>
    <t xml:space="preserve">6M8178 A.04-02 </t>
  </si>
  <si>
    <t xml:space="preserve">Assistant Resident Engineer - Doubletime </t>
  </si>
  <si>
    <r>
      <t>6M8178 A.04-01</t>
    </r>
    <r>
      <rPr>
        <b/>
        <sz val="9"/>
        <color rgb="FF000000"/>
        <rFont val="Helvetica Neue"/>
        <family val="2"/>
      </rPr>
      <t xml:space="preserve">    </t>
    </r>
  </si>
  <si>
    <t>PTO (Sick/Vacation)</t>
  </si>
  <si>
    <t>Holiday</t>
  </si>
  <si>
    <t>`</t>
  </si>
  <si>
    <t>TOTAL HOURS</t>
  </si>
  <si>
    <t>Submitted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</si>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</sst>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name val="Helv"/>
    </font>
    <font>
      <sz val="12"/>
      <color rgb="FF000000"/>
      <name val="Helvetica Neue"/>
      <family val="2"/>
    </font>
    <font>
      <b/>
      <sz val="16"/>
      <color rgb="FF000000"/>
      <name val="Helvetica Neue"/>
      <family val="2"/>
    </font>
    <font>
      <b/>
      <sz val="11"/>
      <color rgb="FF000000"/>
      <name val="Helvetica Neue"/>
      <family val="2"/>
    </font>
    <font>
      <sz val="11"/>
      <color rgb="FF000000"/>
      <name val="Helvetica Neue"/>
      <family val="2"/>
    </font>
    <font>
      <sz val="9"/>
      <color rgb="FF000000"/>
      <name val="Helvetica Neue"/>
      <family val="2"/>
    </font>
    <font>
      <b/>
      <sz val="9"/>
      <color rgb="FF000000"/>
      <name val="Helvetica Neue"/>
      <family val="2"/>
    </font>
    <font>
      <b/>
      <sz val="12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rgb="FF000000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2" xfId="0" applyFont="1" applyFill="1" applyBorder="1"/>
    <xf numFmtId="0" fontId="5" fillId="0" borderId="3" xfId="0" applyFont="1" applyBorder="1"/>
    <xf numFmtId="0" fontId="5" fillId="0" borderId="2" xfId="0" applyFont="1" applyBorder="1"/>
    <xf numFmtId="15" fontId="3" fillId="0" borderId="3" xfId="0" applyNumberFormat="1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4" fontId="6" fillId="4" borderId="10" xfId="0" applyNumberFormat="1" applyFont="1" applyFill="1" applyBorder="1" applyAlignment="1">
      <alignment horizontal="center"/>
    </xf>
    <xf numFmtId="0" fontId="1" fillId="0" borderId="11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3" borderId="8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1" fillId="0" borderId="15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2" fontId="5" fillId="7" borderId="13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/>
    <xf numFmtId="0" fontId="4" fillId="0" borderId="9" xfId="0" applyFont="1" applyBorder="1"/>
    <xf numFmtId="0" fontId="4" fillId="0" borderId="7" xfId="0" applyFont="1" applyBorder="1"/>
    <xf numFmtId="0" fontId="5" fillId="6" borderId="1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/>
    <xf numFmtId="0" fontId="5" fillId="0" borderId="14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6" fillId="0" borderId="22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5" fillId="3" borderId="24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C1763-8BDE-024F-986D-9A2AFBEB470F}"/>
            </a:ext>
            <a:ext uri="{147F2762-F138-4A5C-976F-8EAC2B608ADB}">
              <a16:predDERef xmlns:a16="http://schemas.microsoft.com/office/drawing/2014/main" pred="{19EE026C-2BCA-4E27-9183-C06718DFA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725" y="3213100"/>
          <a:ext cx="1530162" cy="444446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54CCA0-6F8A-FD40-ACCA-9C7FE4FE2385}"/>
            </a:ext>
            <a:ext uri="{147F2762-F138-4A5C-976F-8EAC2B608ADB}">
              <a16:predDERef xmlns:a16="http://schemas.microsoft.com/office/drawing/2014/main" pred="{004A6BD9-E2B6-410B-AB03-9A977F580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99" t="27800" r="1067" b="30605"/>
        <a:stretch>
          <a:fillRect/>
        </a:stretch>
      </xdr:blipFill>
      <xdr:spPr>
        <a:xfrm>
          <a:off x="3978275" y="3194050"/>
          <a:ext cx="1816100" cy="52070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AA0C82-F9E2-3E40-BE90-842B7312346F}"/>
            </a:ext>
            <a:ext uri="{147F2762-F138-4A5C-976F-8EAC2B608ADB}">
              <a16:predDERef xmlns:a16="http://schemas.microsoft.com/office/drawing/2014/main" pred="{CBE1D34C-0D14-4617-BEEF-0E9779A2F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7225" y="963726"/>
          <a:ext cx="10616029" cy="2100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rizmora/Downloads/SAMPLE%20INVOICE%2005-2026-BART6M8178-WSP-A.04.01-Invoice_AZAD-12%20(Jordy%20Peralta)%20Revised-%20.xlsm" TargetMode="External"/><Relationship Id="rId1" Type="http://schemas.openxmlformats.org/officeDocument/2006/relationships/externalLinkPath" Target="SAMPLE%20INVOICE%2005-2026-BART6M8178-WSP-A.04.01-Invoice_AZAD-12%20(Jordy%20Peralta)%20Revised-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"/>
      <sheetName val="Invoice"/>
      <sheetName val="Sub Calc _revised"/>
      <sheetName val="Progress Report"/>
      <sheetName val="Sub Calc"/>
      <sheetName val="Sub Labor"/>
      <sheetName val="Prime ODCs"/>
      <sheetName val="ODC"/>
      <sheetName val="MISC"/>
      <sheetName val="JP Week 1"/>
      <sheetName val="JP Week 2"/>
      <sheetName val="JP Week 3"/>
      <sheetName val="JP Week 4"/>
      <sheetName val="JP Week6"/>
      <sheetName val="JP Week 5"/>
    </sheetNames>
    <sheetDataSet>
      <sheetData sheetId="0"/>
      <sheetData sheetId="1"/>
      <sheetData sheetId="2"/>
      <sheetData sheetId="3"/>
      <sheetData sheetId="4">
        <row r="51">
          <cell r="H51">
            <v>26146.967339520001</v>
          </cell>
        </row>
      </sheetData>
      <sheetData sheetId="5"/>
      <sheetData sheetId="6"/>
      <sheetData sheetId="7"/>
      <sheetData sheetId="8"/>
      <sheetData sheetId="9">
        <row r="6">
          <cell r="M6">
            <v>46143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B5A3-6C79-5C4F-97E6-64DDD0DBCC0E}">
  <sheetPr>
    <tabColor rgb="FFFFFF00"/>
  </sheetPr>
  <dimension ref="A1:N20"/>
  <sheetViews>
    <sheetView tabSelected="1" view="pageBreakPreview" topLeftCell="A3" zoomScale="112" zoomScaleNormal="100" zoomScaleSheetLayoutView="112" workbookViewId="0">
      <selection activeCell="G22" sqref="G22"/>
    </sheetView>
  </sheetViews>
  <sheetFormatPr baseColWidth="10" defaultColWidth="8.7109375" defaultRowHeight="16"/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7" thickBo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4" t="s">
        <v>2</v>
      </c>
      <c r="B5" s="5"/>
      <c r="C5" s="6" t="s">
        <v>3</v>
      </c>
      <c r="D5" s="7"/>
      <c r="E5" s="7"/>
      <c r="F5" s="8"/>
      <c r="G5" s="9" t="s">
        <v>4</v>
      </c>
      <c r="H5" s="10"/>
      <c r="I5" s="11">
        <f>M6</f>
        <v>46150</v>
      </c>
      <c r="J5" s="12"/>
      <c r="K5" s="12"/>
      <c r="L5" s="12"/>
      <c r="M5" s="13"/>
      <c r="N5" s="14"/>
    </row>
    <row r="6" spans="1:14">
      <c r="A6" s="15"/>
      <c r="B6" s="16"/>
      <c r="C6" s="17"/>
      <c r="D6" s="18"/>
      <c r="E6" s="18"/>
      <c r="F6" s="16"/>
      <c r="G6" s="19">
        <f>'[1]JP Week 1'!M6+1</f>
        <v>46144</v>
      </c>
      <c r="H6" s="19">
        <f>G6+1</f>
        <v>46145</v>
      </c>
      <c r="I6" s="19">
        <f t="shared" ref="I6:M6" si="0">H6+1</f>
        <v>46146</v>
      </c>
      <c r="J6" s="19">
        <f t="shared" si="0"/>
        <v>46147</v>
      </c>
      <c r="K6" s="19">
        <f t="shared" si="0"/>
        <v>46148</v>
      </c>
      <c r="L6" s="19">
        <f t="shared" si="0"/>
        <v>46149</v>
      </c>
      <c r="M6" s="19">
        <f t="shared" si="0"/>
        <v>46150</v>
      </c>
      <c r="N6" s="20"/>
    </row>
    <row r="7" spans="1:14">
      <c r="A7" s="21" t="s">
        <v>5</v>
      </c>
      <c r="B7" s="22"/>
      <c r="C7" s="23" t="s">
        <v>6</v>
      </c>
      <c r="D7" s="24"/>
      <c r="E7" s="24"/>
      <c r="F7" s="22"/>
      <c r="G7" s="25" t="s">
        <v>7</v>
      </c>
      <c r="H7" s="26" t="s">
        <v>8</v>
      </c>
      <c r="I7" s="27" t="s">
        <v>9</v>
      </c>
      <c r="J7" s="27" t="s">
        <v>10</v>
      </c>
      <c r="K7" s="27" t="s">
        <v>11</v>
      </c>
      <c r="L7" s="27" t="s">
        <v>12</v>
      </c>
      <c r="M7" s="27" t="s">
        <v>13</v>
      </c>
      <c r="N7" s="28" t="s">
        <v>14</v>
      </c>
    </row>
    <row r="8" spans="1:14">
      <c r="A8" s="29"/>
      <c r="B8" s="30"/>
      <c r="C8" s="31"/>
      <c r="D8" s="32"/>
      <c r="E8" s="32"/>
      <c r="F8" s="30"/>
      <c r="G8" s="33"/>
      <c r="H8" s="33"/>
      <c r="I8" s="34"/>
      <c r="J8" s="34"/>
      <c r="K8" s="34"/>
      <c r="L8" s="34"/>
      <c r="M8" s="34"/>
      <c r="N8" s="35"/>
    </row>
    <row r="9" spans="1:14" s="44" customFormat="1">
      <c r="A9" s="36" t="s">
        <v>15</v>
      </c>
      <c r="B9" s="37"/>
      <c r="C9" s="38" t="s">
        <v>16</v>
      </c>
      <c r="D9" s="39"/>
      <c r="E9" s="39"/>
      <c r="F9" s="40"/>
      <c r="G9" s="41"/>
      <c r="H9" s="41"/>
      <c r="I9" s="42">
        <v>8</v>
      </c>
      <c r="J9" s="42">
        <v>8</v>
      </c>
      <c r="K9" s="42">
        <v>8</v>
      </c>
      <c r="L9" s="42">
        <v>8</v>
      </c>
      <c r="M9" s="42">
        <v>8</v>
      </c>
      <c r="N9" s="43">
        <f>SUM(I9:M9)</f>
        <v>40</v>
      </c>
    </row>
    <row r="10" spans="1:14">
      <c r="A10" s="36" t="s">
        <v>17</v>
      </c>
      <c r="B10" s="37"/>
      <c r="C10" s="45" t="s">
        <v>18</v>
      </c>
      <c r="D10" s="46"/>
      <c r="E10" s="46"/>
      <c r="F10" s="47"/>
      <c r="G10" s="48"/>
      <c r="H10" s="49"/>
      <c r="I10" s="50"/>
      <c r="J10" s="50"/>
      <c r="K10" s="50"/>
      <c r="L10" s="51"/>
      <c r="M10" s="51"/>
      <c r="N10" s="52">
        <f>SUM(G10:M10)</f>
        <v>0</v>
      </c>
    </row>
    <row r="11" spans="1:14">
      <c r="A11" s="36" t="s">
        <v>19</v>
      </c>
      <c r="B11" s="37"/>
      <c r="C11" s="45" t="s">
        <v>20</v>
      </c>
      <c r="D11" s="46"/>
      <c r="E11" s="46"/>
      <c r="F11" s="47"/>
      <c r="G11" s="48"/>
      <c r="H11" s="49"/>
      <c r="I11" s="50"/>
      <c r="J11" s="50"/>
      <c r="K11" s="50"/>
      <c r="L11" s="51"/>
      <c r="M11" s="51"/>
      <c r="N11" s="52">
        <f>G11+H11+I11+J11+K11+L11</f>
        <v>0</v>
      </c>
    </row>
    <row r="12" spans="1:14" hidden="1">
      <c r="A12" s="36" t="s">
        <v>21</v>
      </c>
      <c r="B12" s="37"/>
      <c r="C12" s="45" t="s">
        <v>20</v>
      </c>
      <c r="D12" s="46"/>
      <c r="E12" s="46"/>
      <c r="F12" s="47"/>
      <c r="G12" s="33"/>
      <c r="H12" s="33"/>
      <c r="I12" s="50"/>
      <c r="J12" s="50"/>
      <c r="K12" s="50"/>
      <c r="L12" s="51"/>
      <c r="M12" s="51"/>
      <c r="N12" s="52">
        <f>SUM(I12:M12)</f>
        <v>0</v>
      </c>
    </row>
    <row r="13" spans="1:14">
      <c r="A13" s="53" t="s">
        <v>22</v>
      </c>
      <c r="B13" s="54"/>
      <c r="C13" s="31"/>
      <c r="D13" s="32"/>
      <c r="E13" s="32"/>
      <c r="F13" s="30"/>
      <c r="G13" s="33"/>
      <c r="H13" s="33"/>
      <c r="I13" s="55"/>
      <c r="J13" s="55"/>
      <c r="K13" s="55"/>
      <c r="L13" s="34"/>
      <c r="M13" s="34"/>
      <c r="N13" s="56">
        <f>SUM(I13:M13)</f>
        <v>0</v>
      </c>
    </row>
    <row r="14" spans="1:14">
      <c r="A14" s="53" t="s">
        <v>23</v>
      </c>
      <c r="B14" s="54"/>
      <c r="C14" s="31" t="s">
        <v>24</v>
      </c>
      <c r="D14" s="32"/>
      <c r="E14" s="32"/>
      <c r="F14" s="30"/>
      <c r="G14" s="57"/>
      <c r="H14" s="57"/>
      <c r="I14" s="55"/>
      <c r="J14" s="55"/>
      <c r="K14" s="55"/>
      <c r="L14" s="34"/>
      <c r="M14" s="34"/>
      <c r="N14" s="56">
        <f>SUM(I14:M14)</f>
        <v>0</v>
      </c>
    </row>
    <row r="15" spans="1:14" ht="17" thickBot="1">
      <c r="A15" s="58"/>
      <c r="B15" s="59"/>
      <c r="C15" s="60"/>
      <c r="D15" s="61"/>
      <c r="E15" s="61"/>
      <c r="F15" s="62"/>
      <c r="G15" s="57"/>
      <c r="H15" s="57"/>
      <c r="I15" s="55"/>
      <c r="J15" s="55"/>
      <c r="K15" s="55"/>
      <c r="L15" s="34"/>
      <c r="M15" s="34"/>
      <c r="N15" s="63"/>
    </row>
    <row r="16" spans="1:14" ht="17" thickBot="1">
      <c r="A16" s="64"/>
      <c r="B16" s="65"/>
      <c r="C16" s="66" t="s">
        <v>25</v>
      </c>
      <c r="D16" s="67"/>
      <c r="E16" s="67"/>
      <c r="F16" s="68"/>
      <c r="G16" s="69">
        <f t="shared" ref="G16:M16" si="1">SUM(G8:G15)</f>
        <v>0</v>
      </c>
      <c r="H16" s="69">
        <f t="shared" si="1"/>
        <v>0</v>
      </c>
      <c r="I16" s="69">
        <f t="shared" si="1"/>
        <v>8</v>
      </c>
      <c r="J16" s="69">
        <f t="shared" si="1"/>
        <v>8</v>
      </c>
      <c r="K16" s="69">
        <f t="shared" si="1"/>
        <v>8</v>
      </c>
      <c r="L16" s="69">
        <f t="shared" si="1"/>
        <v>8</v>
      </c>
      <c r="M16" s="69">
        <f t="shared" si="1"/>
        <v>8</v>
      </c>
      <c r="N16" s="70">
        <f>SUM(G16:M16)</f>
        <v>40</v>
      </c>
    </row>
    <row r="17" spans="1:14">
      <c r="A17" s="1"/>
      <c r="B17" s="1"/>
      <c r="C17" s="1"/>
      <c r="D17" s="1"/>
      <c r="E17" s="1"/>
      <c r="F17" s="1"/>
      <c r="G17" s="71"/>
      <c r="H17" s="71"/>
      <c r="I17" s="71"/>
      <c r="J17" s="71"/>
      <c r="K17" s="71"/>
      <c r="L17" s="71"/>
      <c r="M17" s="71"/>
      <c r="N17" s="1"/>
    </row>
    <row r="18" spans="1:14">
      <c r="A18" s="1" t="s">
        <v>26</v>
      </c>
      <c r="B18" s="1"/>
      <c r="C18" s="1"/>
      <c r="D18" s="1"/>
      <c r="E18" s="1" t="s">
        <v>27</v>
      </c>
    </row>
    <row r="19" spans="1:14">
      <c r="A19" s="1"/>
    </row>
    <row r="20" spans="1:14">
      <c r="A20" s="1"/>
    </row>
  </sheetData>
  <mergeCells count="28">
    <mergeCell ref="A16:B16"/>
    <mergeCell ref="C16:F16"/>
    <mergeCell ref="A13:B13"/>
    <mergeCell ref="C13:F13"/>
    <mergeCell ref="A14:B14"/>
    <mergeCell ref="C14:F14"/>
    <mergeCell ref="A15:B15"/>
    <mergeCell ref="C15:F15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2:N2"/>
    <mergeCell ref="A5:B5"/>
    <mergeCell ref="C5:F5"/>
    <mergeCell ref="G5:H5"/>
    <mergeCell ref="I5:M5"/>
    <mergeCell ref="N5:N6"/>
    <mergeCell ref="A6:B6"/>
    <mergeCell ref="C6:F6"/>
  </mergeCells>
  <pageMargins left="0.7" right="0.7" top="0.75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JP Week 2</vt:lpstr>
      <vt:lpstr>'JP Week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2026-06-25T22:24:50Z</dcterms:created>
  <dcterms:modified xsi:type="dcterms:W3CDTF">2026-06-25T22:25:04Z</dcterms:modified>
</cp:coreProperties>
</file>