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00" yWindow="700" windowWidth="28800" windowHeight="17400" tabRatio="600" firstSheet="0" activeTab="0" autoFilterDateGrouping="1"/>
  </bookViews>
  <sheets>
    <sheet name="Data Map" sheetId="1" state="visible" r:id="rId1"/>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Arial"/>
      <family val="2"/>
      <sz val="10"/>
    </font>
    <font>
      <name val="Arial"/>
      <family val="2"/>
      <b val="1"/>
      <color rgb="FFFFFFFF"/>
      <sz val="10"/>
    </font>
    <font>
      <name val="Calibri"/>
      <family val="2"/>
      <color rgb="FFFF0000"/>
      <sz val="11"/>
      <scheme val="minor"/>
    </font>
    <font>
      <name val="Arial"/>
      <family val="2"/>
      <color rgb="FFFF0000"/>
      <sz val="10"/>
    </font>
    <font>
      <name val="Arial"/>
      <family val="2"/>
      <b val="1"/>
      <sz val="10"/>
    </font>
    <font>
      <name val="Arial"/>
      <family val="2"/>
      <b val="1"/>
      <color theme="1"/>
      <sz val="10"/>
    </font>
    <font>
      <name val="Calibri"/>
      <b val="1"/>
      <color rgb="00FFFFFF"/>
      <sz val="11"/>
    </font>
    <font>
      <name val="Calibri"/>
      <sz val="10"/>
    </font>
  </fonts>
  <fills count="15">
    <fill>
      <patternFill/>
    </fill>
    <fill>
      <patternFill patternType="gray125"/>
    </fill>
    <fill>
      <patternFill patternType="solid">
        <fgColor rgb="FFC6E0B4"/>
      </patternFill>
    </fill>
    <fill>
      <patternFill patternType="solid">
        <fgColor rgb="FFFFF2CC"/>
      </patternFill>
    </fill>
    <fill>
      <patternFill patternType="solid">
        <fgColor rgb="FFF8CBAD"/>
      </patternFill>
    </fill>
    <fill>
      <patternFill patternType="solid">
        <fgColor rgb="FFF2F2F2"/>
      </patternFill>
    </fill>
    <fill>
      <patternFill patternType="solid">
        <fgColor rgb="FF1F2937"/>
      </patternFill>
    </fill>
    <fill>
      <patternFill patternType="solid">
        <fgColor theme="5" tint="0.7999816888943144"/>
        <bgColor indexed="64"/>
      </patternFill>
    </fill>
    <fill>
      <patternFill patternType="solid">
        <fgColor theme="0"/>
        <bgColor indexed="64"/>
      </patternFill>
    </fill>
    <fill>
      <patternFill patternType="solid">
        <fgColor rgb="FFFFFF00"/>
        <bgColor indexed="64"/>
      </patternFill>
    </fill>
    <fill>
      <patternFill patternType="solid">
        <fgColor rgb="001F4E79"/>
      </patternFill>
    </fill>
    <fill>
      <patternFill patternType="solid">
        <fgColor rgb="00FFEB9C"/>
      </patternFill>
    </fill>
    <fill>
      <patternFill patternType="solid">
        <fgColor rgb="00C6EFCE"/>
      </patternFill>
    </fill>
    <fill>
      <patternFill patternType="solid">
        <fgColor rgb="00D9D9D9"/>
      </patternFill>
    </fill>
    <fill>
      <patternFill patternType="solid">
        <fgColor rgb="00FFC7CE"/>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2" fillId="6" borderId="1" applyAlignment="1" pivotButton="0" quotePrefix="0" xfId="0">
      <alignment vertical="center" wrapText="1"/>
    </xf>
    <xf numFmtId="0" fontId="1" fillId="0" borderId="1" applyAlignment="1" pivotButton="0" quotePrefix="0" xfId="0">
      <alignment vertical="top" wrapText="1"/>
    </xf>
    <xf numFmtId="0" fontId="1" fillId="4" borderId="1" applyAlignment="1" pivotButton="0" quotePrefix="0" xfId="0">
      <alignment vertical="top" wrapText="1"/>
    </xf>
    <xf numFmtId="0" fontId="1" fillId="3" borderId="1" applyAlignment="1" pivotButton="0" quotePrefix="0" xfId="0">
      <alignment vertical="top" wrapText="1"/>
    </xf>
    <xf numFmtId="0" fontId="1" fillId="5" borderId="1" applyAlignment="1" pivotButton="0" quotePrefix="0" xfId="0">
      <alignment vertical="top" wrapText="1"/>
    </xf>
    <xf numFmtId="0" fontId="1" fillId="2" borderId="1" applyAlignment="1" pivotButton="0" quotePrefix="0" xfId="0">
      <alignment vertical="top" wrapText="1"/>
    </xf>
    <xf numFmtId="0" fontId="2" fillId="6" borderId="2" applyAlignment="1" pivotButton="0" quotePrefix="0" xfId="0">
      <alignment vertical="center" wrapText="1"/>
    </xf>
    <xf numFmtId="0" fontId="1" fillId="4" borderId="4" applyAlignment="1" pivotButton="0" quotePrefix="0" xfId="0">
      <alignment vertical="top" wrapText="1"/>
    </xf>
    <xf numFmtId="0" fontId="1" fillId="0" borderId="4" applyAlignment="1" pivotButton="0" quotePrefix="0" xfId="0">
      <alignment vertical="top" wrapText="1"/>
    </xf>
    <xf numFmtId="0" fontId="1" fillId="0" borderId="3" applyAlignment="1" pivotButton="0" quotePrefix="0" xfId="0">
      <alignment vertical="top" wrapText="1"/>
    </xf>
    <xf numFmtId="0" fontId="0" fillId="0" borderId="3" pivotButton="0" quotePrefix="0" xfId="0"/>
    <xf numFmtId="0" fontId="0" fillId="7" borderId="3" pivotButton="0" quotePrefix="0" xfId="0"/>
    <xf numFmtId="0" fontId="0" fillId="8" borderId="3" applyAlignment="1" pivotButton="0" quotePrefix="0" xfId="0">
      <alignment wrapText="1"/>
    </xf>
    <xf numFmtId="0" fontId="0" fillId="0" borderId="3" applyAlignment="1" pivotButton="0" quotePrefix="0" xfId="0">
      <alignment wrapText="1"/>
    </xf>
    <xf numFmtId="0" fontId="0" fillId="8" borderId="3" pivotButton="0" quotePrefix="0" xfId="0"/>
    <xf numFmtId="0" fontId="1" fillId="9" borderId="4" applyAlignment="1" pivotButton="0" quotePrefix="0" xfId="0">
      <alignment vertical="top" wrapText="1"/>
    </xf>
    <xf numFmtId="0" fontId="1" fillId="8" borderId="3" applyAlignment="1" pivotButton="0" quotePrefix="0" xfId="0">
      <alignment vertical="top" wrapText="1"/>
    </xf>
    <xf numFmtId="0" fontId="1" fillId="9" borderId="3" applyAlignment="1" pivotButton="0" quotePrefix="0" xfId="0">
      <alignment vertical="top" wrapText="1"/>
    </xf>
    <xf numFmtId="0" fontId="6" fillId="4" borderId="1" applyAlignment="1" pivotButton="0" quotePrefix="0" xfId="0">
      <alignment vertical="top" wrapText="1"/>
    </xf>
    <xf numFmtId="0" fontId="7" fillId="10" borderId="5" applyAlignment="1" pivotButton="0" quotePrefix="0" xfId="0">
      <alignment vertical="top" wrapText="1"/>
    </xf>
    <xf numFmtId="0" fontId="8" fillId="11" borderId="5" applyAlignment="1" pivotButton="0" quotePrefix="0" xfId="0">
      <alignment vertical="top" wrapText="1"/>
    </xf>
    <xf numFmtId="0" fontId="8" fillId="12" borderId="5" applyAlignment="1" pivotButton="0" quotePrefix="0" xfId="0">
      <alignment vertical="top" wrapText="1"/>
    </xf>
    <xf numFmtId="0" fontId="8" fillId="13" borderId="5" applyAlignment="1" pivotButton="0" quotePrefix="0" xfId="0">
      <alignment vertical="top" wrapText="1"/>
    </xf>
    <xf numFmtId="0" fontId="8" fillId="14" borderId="5"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showGridLines="0" tabSelected="1" workbookViewId="0">
      <pane ySplit="1" topLeftCell="A2" activePane="bottomLeft" state="frozen"/>
      <selection pane="bottomLeft" activeCell="G1" sqref="G1"/>
    </sheetView>
  </sheetViews>
  <sheetFormatPr baseColWidth="10" defaultColWidth="8.83203125" defaultRowHeight="15"/>
  <cols>
    <col width="16" customWidth="1" min="1" max="1"/>
    <col width="26" customWidth="1" min="2" max="2"/>
    <col width="28" customWidth="1" min="3" max="3"/>
    <col width="16" customWidth="1" min="4" max="5"/>
    <col width="22" customWidth="1" min="6" max="6"/>
    <col width="54.5" customWidth="1" min="7" max="7"/>
    <col width="42" customWidth="1" min="8" max="8"/>
    <col width="45" customWidth="1" min="9" max="9"/>
    <col width="70" customWidth="1" min="10" max="10"/>
  </cols>
  <sheetData>
    <row r="1" ht="30" customHeight="1">
      <c r="A1" s="1" t="inlineStr">
        <is>
          <t>Package Tab</t>
        </is>
      </c>
      <c r="B1" s="1" t="inlineStr">
        <is>
          <t>Field / Line Item</t>
        </is>
      </c>
      <c r="C1" s="1" t="inlineStr">
        <is>
          <t>Example (from current package)</t>
        </is>
      </c>
      <c r="D1" s="1" t="inlineStr">
        <is>
          <t>Type</t>
        </is>
      </c>
      <c r="E1" s="1" t="inlineStr">
        <is>
          <t>Frequency</t>
        </is>
      </c>
      <c r="F1" s="1" t="inlineStr">
        <is>
          <t>Procas Report Name</t>
        </is>
      </c>
      <c r="G1" s="1" t="inlineStr">
        <is>
          <t>Procas Field / Column</t>
        </is>
      </c>
      <c r="H1" s="1" t="inlineStr">
        <is>
          <t>Notes / Open Question</t>
        </is>
      </c>
      <c r="I1" s="7" t="inlineStr">
        <is>
          <t>Julie Response</t>
        </is>
      </c>
      <c r="J1" s="20" t="inlineStr">
        <is>
          <t>Replit Analysis &amp; Status</t>
        </is>
      </c>
    </row>
    <row r="2" ht="32" customHeight="1">
      <c r="A2" s="2" t="inlineStr">
        <is>
          <t>Invoice</t>
        </is>
      </c>
      <c r="B2" s="2" t="inlineStr">
        <is>
          <t>Invoice No.</t>
        </is>
      </c>
      <c r="C2" s="2" t="inlineStr">
        <is>
          <t>A.05-01-16</t>
        </is>
      </c>
      <c r="D2" s="2" t="inlineStr">
        <is>
          <t>Recurring - variable</t>
        </is>
      </c>
      <c r="E2" s="2" t="inlineStr">
        <is>
          <t>Every cycle</t>
        </is>
      </c>
      <c r="F2" s="3" t="inlineStr">
        <is>
          <t>Billing History report</t>
        </is>
      </c>
      <c r="G2" s="3" t="inlineStr">
        <is>
          <t>Column X ("Invoice Number")</t>
        </is>
      </c>
      <c r="H2" s="8" t="inlineStr">
        <is>
          <t>Procas invoice # currently doesn't match ours — need crosswalk table or renumber in Procas</t>
        </is>
      </c>
      <c r="I2" s="18" t="inlineStr">
        <is>
          <t xml:space="preserve">Julie to update invoice numbers </t>
        </is>
      </c>
      <c r="J2" s="21" t="inlineStr">
        <is>
          <t>⚠ QUESTION FOR JULIE
Awaiting Julie's update of invoice numbers in Procas. Once done, we can build an auto-lookup from BillingHistory to fill Invoice No. automatically. No code change needed until Julie confirms Procas is updated.</t>
        </is>
      </c>
    </row>
    <row r="3" ht="32" customHeight="1">
      <c r="A3" s="2" t="inlineStr">
        <is>
          <t>Invoice</t>
        </is>
      </c>
      <c r="B3" s="2" t="inlineStr">
        <is>
          <t>Invoice Date</t>
        </is>
      </c>
      <c r="C3" s="2" t="inlineStr">
        <is>
          <t>7/29/2026</t>
        </is>
      </c>
      <c r="D3" s="2" t="inlineStr">
        <is>
          <t>Recurring - variable</t>
        </is>
      </c>
      <c r="E3" s="2" t="inlineStr">
        <is>
          <t>Every cycle</t>
        </is>
      </c>
      <c r="F3" s="4" t="n"/>
      <c r="G3" s="4" t="n"/>
      <c r="H3" s="9" t="inlineStr">
        <is>
          <t>Tied to billing date (in drop down), not a Procas pull:  confirm</t>
        </is>
      </c>
      <c r="I3" s="10" t="inlineStr">
        <is>
          <t>Correction: Invoice Date is date we are sending invoice. So date report is populated.</t>
        </is>
      </c>
      <c r="J3" s="22" t="inlineStr">
        <is>
          <t>✅ READY — NO ACTION NEEDED
Confirmed manual field (date the invoice is sent). Already implemented as an editable date field. Not a Procas pull.</t>
        </is>
      </c>
    </row>
    <row r="4" ht="32" customHeight="1">
      <c r="A4" s="2" t="inlineStr">
        <is>
          <t>Invoice</t>
        </is>
      </c>
      <c r="B4" s="2" t="inlineStr">
        <is>
          <t>PO No.</t>
        </is>
      </c>
      <c r="C4" s="2" t="inlineStr">
        <is>
          <t>71262</t>
        </is>
      </c>
      <c r="D4" s="2" t="inlineStr">
        <is>
          <t>Static per work plan</t>
        </is>
      </c>
      <c r="E4" s="2" t="inlineStr">
        <is>
          <t>One-time setup</t>
        </is>
      </c>
      <c r="F4" s="4" t="n"/>
      <c r="G4" s="4" t="n"/>
      <c r="H4" s="9" t="n"/>
      <c r="I4" s="17" t="inlineStr">
        <is>
          <t>yes on time set up</t>
        </is>
      </c>
      <c r="J4" s="22" t="inlineStr">
        <is>
          <t>✅ READY — NO ACTION NEEDED
One-time setup. Stored on the Work Plan record. Exports correctly to Invoice tab.</t>
        </is>
      </c>
    </row>
    <row r="5" ht="32" customHeight="1">
      <c r="A5" s="2" t="inlineStr">
        <is>
          <t>Invoice</t>
        </is>
      </c>
      <c r="B5" s="2" t="inlineStr">
        <is>
          <t>Agreement No.</t>
        </is>
      </c>
      <c r="C5" s="2" t="inlineStr">
        <is>
          <t>6M8178</t>
        </is>
      </c>
      <c r="D5" s="2" t="inlineStr">
        <is>
          <t>Static per contract</t>
        </is>
      </c>
      <c r="E5" s="2" t="inlineStr">
        <is>
          <t>One-time setup</t>
        </is>
      </c>
      <c r="F5" s="4" t="n"/>
      <c r="G5" s="4" t="n"/>
      <c r="H5" s="9" t="n"/>
      <c r="I5" s="11" t="inlineStr">
        <is>
          <t>Correct</t>
        </is>
      </c>
      <c r="J5" s="22" t="inlineStr">
        <is>
          <t>✅ READY — NO ACTION NEEDED
One-time setup. Stored on the Work Plan record. Exports correctly to Invoice tab.</t>
        </is>
      </c>
    </row>
    <row r="6" ht="32" customHeight="1">
      <c r="A6" s="2" t="inlineStr">
        <is>
          <t>Invoice</t>
        </is>
      </c>
      <c r="B6" s="2" t="inlineStr">
        <is>
          <t>Work Plan Title</t>
        </is>
      </c>
      <c r="C6" s="2" t="inlineStr">
        <is>
          <t>MOCC &amp; LMA HVAC</t>
        </is>
      </c>
      <c r="D6" s="2" t="inlineStr">
        <is>
          <t>Static per work plan</t>
        </is>
      </c>
      <c r="E6" s="2" t="inlineStr">
        <is>
          <t>One-time setup</t>
        </is>
      </c>
      <c r="F6" s="4" t="n"/>
      <c r="G6" s="4" t="n"/>
      <c r="H6" s="9" t="n"/>
      <c r="I6" s="11" t="inlineStr">
        <is>
          <t>Correct</t>
        </is>
      </c>
      <c r="J6" s="22" t="inlineStr">
        <is>
          <t>✅ READY — NO ACTION NEEDED
One-time setup. Stored on the Work Plan record. Exports correctly to Invoice tab.</t>
        </is>
      </c>
    </row>
    <row r="7" ht="32" customHeight="1">
      <c r="A7" s="2" t="inlineStr">
        <is>
          <t>Invoice</t>
        </is>
      </c>
      <c r="B7" s="2" t="inlineStr">
        <is>
          <t>Period of Service (From/To)</t>
        </is>
      </c>
      <c r="C7" s="2" t="inlineStr">
        <is>
          <t>5/30/26 – 6/30/26</t>
        </is>
      </c>
      <c r="D7" s="2" t="inlineStr">
        <is>
          <t>Recurring - variable</t>
        </is>
      </c>
      <c r="E7" s="2" t="inlineStr">
        <is>
          <t>Every cycle</t>
        </is>
      </c>
      <c r="F7" s="3" t="n"/>
      <c r="G7" s="3" t="n"/>
      <c r="H7" s="8" t="inlineStr">
        <is>
          <t>Depends on which of the 3 billing period formats (whole month / last-Friday-to-last-Friday / Caltrans D3 custom) applies to this work plan</t>
        </is>
      </c>
      <c r="I7" s="17" t="inlineStr">
        <is>
          <t>Yes so consider this "not a Procas pull". We don't need you to do the Sherri Procas invoice so now there's just two options- Last day of month/Last Friday</t>
        </is>
      </c>
      <c r="J7" s="22" t="inlineStr">
        <is>
          <t>✅ SIMPLIFIED — MINOR CLEANUP NEEDED
Julie confirmed only 2 billing formats now: (1) Last day of month, (2) Last Friday. Caltrans/Sherri format removed from scope. System already supports these two. Will remove the third option from the UI.</t>
        </is>
      </c>
    </row>
    <row r="8" ht="32" customHeight="1">
      <c r="A8" s="2" t="inlineStr">
        <is>
          <t>Invoice</t>
        </is>
      </c>
      <c r="B8" s="2" t="inlineStr">
        <is>
          <t>Total Work Plan Budget</t>
        </is>
      </c>
      <c r="C8" s="2" t="inlineStr">
        <is>
          <t>$1,381,971.85 (example)</t>
        </is>
      </c>
      <c r="D8" s="2" t="inlineStr">
        <is>
          <t>Static - rarely changes</t>
        </is>
      </c>
      <c r="E8" s="2" t="inlineStr">
        <is>
          <t>Contract mods only</t>
        </is>
      </c>
      <c r="F8" s="4" t="n"/>
      <c r="G8" s="4" t="n"/>
      <c r="H8" s="9" t="n"/>
      <c r="I8" s="12" t="inlineStr">
        <is>
          <t>Check in Procas</t>
        </is>
      </c>
      <c r="J8" s="21" t="inlineStr">
        <is>
          <t>⚠ QUESTION FOR JULIE
Julie said 'Check in Procas.' We need to know: does the contract budget (e.g. $1,381,971.85) appear in any Procas report or table? If yes, which one and which column? If not, we treat it as a one-time manual entry on the Work Plan — which already works today.</t>
        </is>
      </c>
    </row>
    <row r="9" ht="32" customHeight="1">
      <c r="A9" s="2" t="inlineStr">
        <is>
          <t>Invoice</t>
        </is>
      </c>
      <c r="B9" s="2" t="inlineStr">
        <is>
          <t>Total Billed This Period</t>
        </is>
      </c>
      <c r="C9" s="2" t="inlineStr">
        <is>
          <t>example figure</t>
        </is>
      </c>
      <c r="D9" s="2" t="inlineStr">
        <is>
          <t>Calculated</t>
        </is>
      </c>
      <c r="E9" s="2" t="inlineStr">
        <is>
          <t>Every cycle</t>
        </is>
      </c>
      <c r="F9" s="5" t="inlineStr">
        <is>
          <t>—</t>
        </is>
      </c>
      <c r="G9" s="5" t="inlineStr">
        <is>
          <t>—</t>
        </is>
      </c>
      <c r="H9" s="9" t="n"/>
      <c r="I9" s="11" t="n"/>
      <c r="J9" s="23" t="inlineStr">
        <is>
          <t>✅ CALCULATED — NO PROCAS PULL NEEDED
Derived from timesheet hours × rates + overhead + fixed fee + FCCM. Already calculating correctly.</t>
        </is>
      </c>
    </row>
    <row r="10" ht="32" customHeight="1">
      <c r="A10" s="2" t="inlineStr">
        <is>
          <t>Invoice</t>
        </is>
      </c>
      <c r="B10" s="2" t="inlineStr">
        <is>
          <t>Previously Billed Amount</t>
        </is>
      </c>
      <c r="C10" s="2" t="inlineStr">
        <is>
          <t>example figure</t>
        </is>
      </c>
      <c r="D10" s="2" t="inlineStr">
        <is>
          <t>Recurring - variable</t>
        </is>
      </c>
      <c r="E10" s="2" t="inlineStr">
        <is>
          <t>Every cycle</t>
        </is>
      </c>
      <c r="F10" s="6" t="inlineStr">
        <is>
          <t>Billing Invoice Report</t>
        </is>
      </c>
      <c r="G10" s="6" t="inlineStr">
        <is>
          <t>Pivot on Col U "GL Sales Trans", sum Col AW "TotalBillingAmount"</t>
        </is>
      </c>
      <c r="H10" s="9" t="inlineStr">
        <is>
          <t>Confirmed logic — no dedicated field exists, must be derived this way every time</t>
        </is>
      </c>
      <c r="I10" s="10" t="inlineStr">
        <is>
          <t>Yes</t>
        </is>
      </c>
      <c r="J10" s="21" t="inlineStr">
        <is>
          <t>⚠ QUESTION FOR JULIE
Julie confirmed: GL Sales Trans pivot on TotalBillingAmount. System currently reads BillingHistory.TotalBillingAmount filtered by project and date — likely the same number. Need Julie to confirm: is 'GL Sales Trans' a separate Procas report name, or just a column filter inside BillingHistory? If same table, we are already correct.</t>
        </is>
      </c>
    </row>
    <row r="11" ht="32" customHeight="1">
      <c r="A11" s="2" t="inlineStr">
        <is>
          <t>Invoice</t>
        </is>
      </c>
      <c r="B11" s="2" t="inlineStr">
        <is>
          <t>Total Billed to Date</t>
        </is>
      </c>
      <c r="C11" s="2" t="inlineStr">
        <is>
          <t>example figure</t>
        </is>
      </c>
      <c r="D11" s="2" t="inlineStr">
        <is>
          <t>Calculated</t>
        </is>
      </c>
      <c r="E11" s="2" t="inlineStr">
        <is>
          <t>Every cycle</t>
        </is>
      </c>
      <c r="F11" s="5" t="inlineStr">
        <is>
          <t>—</t>
        </is>
      </c>
      <c r="G11" s="5" t="inlineStr">
        <is>
          <t>—</t>
        </is>
      </c>
      <c r="H11" s="9">
        <f>Previously Billed + This Period</f>
        <v/>
      </c>
      <c r="I11" s="10" t="inlineStr">
        <is>
          <t>Yes same as above</t>
        </is>
      </c>
      <c r="J11" s="23" t="inlineStr">
        <is>
          <t>✅ CALCULATED — NO PROCAS PULL NEEDED
= Previously Billed + Total Billed This Period. Already calculating correctly.</t>
        </is>
      </c>
    </row>
    <row r="12" ht="32" customHeight="1">
      <c r="A12" s="2" t="inlineStr">
        <is>
          <t>Invoice</t>
        </is>
      </c>
      <c r="B12" s="2" t="inlineStr">
        <is>
          <t>Amount Remaining</t>
        </is>
      </c>
      <c r="C12" s="2" t="inlineStr">
        <is>
          <t>example figure</t>
        </is>
      </c>
      <c r="D12" s="2" t="inlineStr">
        <is>
          <t>Calculated</t>
        </is>
      </c>
      <c r="E12" s="2" t="inlineStr">
        <is>
          <t>Every cycle</t>
        </is>
      </c>
      <c r="F12" s="5" t="inlineStr">
        <is>
          <t>—</t>
        </is>
      </c>
      <c r="G12" s="5" t="inlineStr">
        <is>
          <t>—</t>
        </is>
      </c>
      <c r="H12" s="9" t="n"/>
      <c r="I12" s="10" t="inlineStr">
        <is>
          <t>Yes</t>
        </is>
      </c>
      <c r="J12" s="23" t="inlineStr">
        <is>
          <t>✅ CALCULATED — NO PROCAS PULL NEEDED
= Budget − Total Billed To Date. Already calculating correctly.</t>
        </is>
      </c>
    </row>
    <row r="13" ht="32" customHeight="1">
      <c r="A13" s="2" t="inlineStr">
        <is>
          <t>Sub Calc</t>
        </is>
      </c>
      <c r="B13" s="2" t="inlineStr">
        <is>
          <t>Budget (per cost category: Field Labor, Fringe, Fixed Fee, FCCM, etc.)</t>
        </is>
      </c>
      <c r="C13" s="2" t="inlineStr">
        <is>
          <t>example figures</t>
        </is>
      </c>
      <c r="D13" s="2" t="inlineStr">
        <is>
          <t>Static - rarely changes</t>
        </is>
      </c>
      <c r="E13" s="2" t="inlineStr">
        <is>
          <t>Contract mods only</t>
        </is>
      </c>
      <c r="F13" s="3" t="n"/>
      <c r="G13" s="3" t="n"/>
      <c r="H13" s="8" t="inlineStr">
        <is>
          <t>Confirm whether these live in Procas at all, or are contract terms we maintain ourselves</t>
        </is>
      </c>
      <c r="I13" s="17" t="inlineStr">
        <is>
          <t>Procas may not have, better if it's pulled from AZAD</t>
        </is>
      </c>
      <c r="J13" s="22" t="inlineStr">
        <is>
          <t>✅ CONFIRMED — MAINTAINED IN AZAD SYSTEM
Julie confirmed: budget per category is NOT in Procas, maintained by Azad. Fields already exist in our Work Plan record (budget_labor, budget_overhead, budget_fixed_fee, budget_fccm). One-time setup.</t>
        </is>
      </c>
    </row>
    <row r="14" ht="165" customHeight="1">
      <c r="A14" s="2" t="inlineStr">
        <is>
          <t>Sub Calc</t>
        </is>
      </c>
      <c r="B14" s="2" t="inlineStr">
        <is>
          <t>Amount This Period (per cost category)</t>
        </is>
      </c>
      <c r="C14" s="2" t="inlineStr">
        <is>
          <t>example figures</t>
        </is>
      </c>
      <c r="D14" s="2" t="inlineStr">
        <is>
          <t>Recurring - variable</t>
        </is>
      </c>
      <c r="E14" s="2" t="inlineStr">
        <is>
          <t>Every cycle</t>
        </is>
      </c>
      <c r="F14" s="3" t="inlineStr">
        <is>
          <t>Billing History</t>
        </is>
      </c>
      <c r="G14" s="19" t="n"/>
      <c r="H14" s="8" t="inlineStr">
        <is>
          <t>Does Procas break "TotalBillingAmount" down by cost category (labor/ODC/fixed fee), or only give a grand total per invoice?</t>
        </is>
      </c>
      <c r="I14" s="15" t="inlineStr">
        <is>
          <t>Sometimes. In instances where employees never work OT, For BART we have the Overhead, fee and FCCM listed in Procas (in the Billing Account Report outlined in row 18 of this spreadsheet). In instances where any employee on that project works OT, there is no Overhead and Fee and no Total indirect cost and costs listed in Procas.</t>
        </is>
      </c>
      <c r="J14" s="24" t="inlineStr">
        <is>
          <t>🚩 FLAG — BUILD NEEDED + OT EXCEPTION IS CRITICAL
Julie confirmed Procas Billing History has category columns ONLY when no employee worked OT:
  • Col K = Direct Labor Amount
  • Col L = Direct Units (hours)
  • Col M = Facilities Amount (FCCM)
  • Col N = Fee Amount
  • Col AY = Total Indirect (MUST subtract Col M before using)
  • Col AX = Total Costs (MUST subtract Col M before using)
⚠ When ANY employee works OT, Procas drops the indirect cost breakdown entirely. In that case, we must calculate Overhead/Fee/FCCM ourselves from stored rates.
ACTION NEEDED FROM JULIE: Please share one approved BART invoice where an employee had OT, so we can verify our calculated indirect costs match what BART accepted.</t>
        </is>
      </c>
    </row>
    <row r="15" ht="158.5" customHeight="1">
      <c r="A15" s="2" t="inlineStr">
        <is>
          <t>Sub Calc</t>
        </is>
      </c>
      <c r="B15" s="2" t="inlineStr">
        <is>
          <t>Previously Billed (per cost category)</t>
        </is>
      </c>
      <c r="C15" s="2" t="inlineStr">
        <is>
          <t>example figures</t>
        </is>
      </c>
      <c r="D15" s="2" t="inlineStr">
        <is>
          <t>Recurring - variable</t>
        </is>
      </c>
      <c r="E15" s="2" t="inlineStr">
        <is>
          <t>Every cycle</t>
        </is>
      </c>
      <c r="F15" s="3" t="inlineStr">
        <is>
          <t>Billing History Report</t>
        </is>
      </c>
      <c r="G15" s="3" t="inlineStr">
        <is>
          <t xml:space="preserve">Same GL Sales Trans / TotalBillingAmount pivot, if it can be split by category
Column K- Direct Amount (this is the first row in the sub calc)
Column L-Direct Units (this is the total hours worked this billing period)
Column M- Facilities Amount- Amount for FCCM
Column N- Fee Amount 
Column AY- TotalIndirect MUST SUBTRACT THE AMOUNT FROM COLUMN M TO USE
Colymn AX- TotalCosts MUST SUBTRACT THE AMOUNT FROM COLUMN M TO USE
</t>
        </is>
      </c>
      <c r="H15" s="8" t="inlineStr">
        <is>
          <t>Same open question as above — category-level split</t>
        </is>
      </c>
      <c r="I15" s="15" t="inlineStr">
        <is>
          <t>Same answer as above</t>
        </is>
      </c>
      <c r="J15" s="24" t="inlineStr">
        <is>
          <t>🚩 FLAG — SAME OT EXCEPTION APPLIES
Same Billing History column mapping as row above (Amount This Period). Category-level Previously Billed is only available from Procas when no OT occurred.
ACTION NEEDED FROM JULIE: Same example invoice as requested above.</t>
        </is>
      </c>
    </row>
    <row r="16" ht="32" customHeight="1">
      <c r="A16" s="2" t="inlineStr">
        <is>
          <t>Sub Calc</t>
        </is>
      </c>
      <c r="B16" s="2" t="inlineStr">
        <is>
          <t>% Expended</t>
        </is>
      </c>
      <c r="C16" s="2" t="inlineStr">
        <is>
          <t>example figure</t>
        </is>
      </c>
      <c r="D16" s="2" t="inlineStr">
        <is>
          <t>Calculated</t>
        </is>
      </c>
      <c r="E16" s="2" t="inlineStr">
        <is>
          <t>Every cycle</t>
        </is>
      </c>
      <c r="F16" s="5" t="inlineStr">
        <is>
          <t>—</t>
        </is>
      </c>
      <c r="G16" s="5" t="inlineStr">
        <is>
          <t>—</t>
        </is>
      </c>
      <c r="H16" s="9">
        <f>Amount to Date / Budget</f>
        <v/>
      </c>
      <c r="I16" s="11" t="inlineStr">
        <is>
          <t>Yes</t>
        </is>
      </c>
      <c r="J16" s="23" t="inlineStr">
        <is>
          <t>✅ CALCULATED — NO PROCAS PULL NEEDED
= Amount Billed To Date / Budget. Already calculating correctly.</t>
        </is>
      </c>
    </row>
    <row r="17" ht="32" customHeight="1">
      <c r="A17" s="2" t="inlineStr">
        <is>
          <t>Sub Calc</t>
        </is>
      </c>
      <c r="B17" s="2" t="inlineStr">
        <is>
          <t>Hours to Date (Current / Previous / To Date)</t>
        </is>
      </c>
      <c r="C17" s="2" t="inlineStr">
        <is>
          <t>example figures</t>
        </is>
      </c>
      <c r="D17" s="2" t="inlineStr">
        <is>
          <t>Recurring - variable</t>
        </is>
      </c>
      <c r="E17" s="2" t="inlineStr">
        <is>
          <t>Every cycle</t>
        </is>
      </c>
      <c r="F17" s="4" t="inlineStr">
        <is>
          <t>Billing History</t>
        </is>
      </c>
      <c r="G17" s="4" t="inlineStr">
        <is>
          <t>Column L- Direct Unites (hours)</t>
        </is>
      </c>
      <c r="H17" s="9" t="inlineStr">
        <is>
          <t>Rolled up from timesheet hours per employee — see Timesheets section below</t>
        </is>
      </c>
      <c r="I17" s="15" t="inlineStr">
        <is>
          <t xml:space="preserve">This is only available for past hours. </t>
        </is>
      </c>
      <c r="J17" s="21" t="inlineStr">
        <is>
          <t>⚠ QUESTION FOR JULIE
Julie confirmed Col L (Direct Units) in Billing History shows past hours. Current-period hours come from the Timesheet feed. System rolls these up correctly for current period. Confirmed: past hours from Billing History not yet pulled — is it important to show prior period hours broken out by employee, or is the grand total enough?</t>
        </is>
      </c>
    </row>
    <row r="18" ht="80.5" customHeight="1">
      <c r="A18" s="2" t="inlineStr">
        <is>
          <t>Sub Calc</t>
        </is>
      </c>
      <c r="B18" s="2" t="inlineStr">
        <is>
          <t>Fringe / Overhead rate, Fixed Fee %, FCCM %</t>
        </is>
      </c>
      <c r="C18" s="2" t="inlineStr">
        <is>
          <t>1.09, 8%, 0.39% (examples)</t>
        </is>
      </c>
      <c r="D18" s="2" t="inlineStr">
        <is>
          <t>Static - rarely changes</t>
        </is>
      </c>
      <c r="E18" s="2" t="inlineStr">
        <is>
          <t>Contract mods only</t>
        </is>
      </c>
      <c r="F18" s="4" t="inlineStr">
        <is>
          <t>Billing Account</t>
        </is>
      </c>
      <c r="G18" s="4" t="inlineStr">
        <is>
          <t xml:space="preserve">Columns in Billing Item Report:
Column B- Billing Date Beginning
Column C Billing Date Ending
Column D- Project
Column O- Facilitities Percent (FCCM)
Column P- Overhead percent
Column U- Fee percent </t>
        </is>
      </c>
      <c r="H18" s="9" t="inlineStr">
        <is>
          <t>Confirm source — Procas or a rate table we maintain</t>
        </is>
      </c>
      <c r="I18" s="16" t="inlineStr">
        <is>
          <t>I would prefer for it to be pulled from Procas to streamline things for future invoices. BUT there are several exceptions where we overode what's in Procas and should follow the static spreadsheet</t>
        </is>
      </c>
      <c r="J18" s="22" t="inlineStr">
        <is>
          <t>✅ ALREADY PULLING FROM PROCAS — CONFIRMED
System reads Billing Item report from Procas (BillingItem table):
  • Billing Date Beginning / Ending (effective date range)
  • Col O = FCCM %
  • Col P = Overhead %
  • Fixed Fee % also pulled
Rates are date-ranged, so mid-period changes are handled. Already implemented.</t>
        </is>
      </c>
    </row>
    <row r="19" ht="32" customHeight="1">
      <c r="A19" s="2" t="inlineStr">
        <is>
          <t>Sub Calc</t>
        </is>
      </c>
      <c r="B19" s="2" t="inlineStr">
        <is>
          <t>Other Direct Costs (OT premium, car rental, lodging, meals)</t>
        </is>
      </c>
      <c r="C19" s="2" t="inlineStr">
        <is>
          <t>example figures</t>
        </is>
      </c>
      <c r="D19" s="2" t="inlineStr">
        <is>
          <t>Recurring - variable</t>
        </is>
      </c>
      <c r="E19" s="2" t="inlineStr">
        <is>
          <t>Every cycle</t>
        </is>
      </c>
      <c r="F19" s="4" t="n"/>
      <c r="G19" s="4" t="n"/>
      <c r="H19" s="9" t="n"/>
      <c r="I19" s="15" t="inlineStr">
        <is>
          <t xml:space="preserve">If an employee for a Bart project worked overtime then this section needs to be populated based on the delta. So it would be triggered if Column N of "timesheet" report had an O, NO, D or ND. In that case it would have to be cacluated with 1/2 of employee's rate of ovetime and additional amount of their rate of doubletime. This is unique to BART. </t>
        </is>
      </c>
      <c r="J19" s="24" t="inlineStr">
        <is>
          <t>🚩 FLAG — BART-SPECIFIC OT ODC CALCULATION NOT YET BUILT
Julie confirmed BART-unique rule:
  • Triggered when Timesheet Col N (Paycode) = O, NO, D, or ND
  • OT Premium = ½ × employee billing rate × OT hours
  • DT Premium = 1× employee billing rate × DT hours (additional amount)
  • Result goes in the ODC section of Sub Calc, not the Labor section
Current system captures OT/DT hours but does NOT yet calculate the ODC premium or place it on the Sub Calc ODC line.
ACTION NEEDED FROM JULIE: Share one example: employee rate, OT hours worked, and the resulting ODC line from a BART Sub Calc. This ties out the formula exactly before we build it.</t>
        </is>
      </c>
    </row>
    <row r="20" ht="32" customHeight="1">
      <c r="A20" s="2" t="inlineStr">
        <is>
          <t>Sub Calc</t>
        </is>
      </c>
      <c r="B20" s="2" t="inlineStr">
        <is>
          <t>Subconsultants</t>
        </is>
      </c>
      <c r="C20" s="2" t="inlineStr">
        <is>
          <t>example figures</t>
        </is>
      </c>
      <c r="D20" s="2" t="inlineStr">
        <is>
          <t>Recurring - variable (if applicable)</t>
        </is>
      </c>
      <c r="E20" s="2" t="inlineStr">
        <is>
          <t>Every cycle</t>
        </is>
      </c>
      <c r="F20" s="4" t="n"/>
      <c r="G20" s="4" t="n"/>
      <c r="H20" s="9" t="n"/>
      <c r="I20" s="9" t="inlineStr">
        <is>
          <t>This field should have been blank and not filled out</t>
        </is>
      </c>
      <c r="J20" s="22" t="inlineStr">
        <is>
          <t>✅ REMOVED FROM SCOPE
Julie confirmed this field should have been blank. Subconsultants are not applicable. Removed from build scope.</t>
        </is>
      </c>
    </row>
    <row r="21" ht="32" customHeight="1">
      <c r="A21" s="2" t="inlineStr">
        <is>
          <t>Labor Attachment</t>
        </is>
      </c>
      <c r="B21" s="2" t="inlineStr">
        <is>
          <t>Invoice Date / Invoice No. / Work Plan No.</t>
        </is>
      </c>
      <c r="C21" s="2" t="inlineStr">
        <is>
          <t>same as Invoice tab</t>
        </is>
      </c>
      <c r="D21" s="2" t="inlineStr">
        <is>
          <t>Recurring - variable</t>
        </is>
      </c>
      <c r="E21" s="2" t="inlineStr">
        <is>
          <t>Every cycle</t>
        </is>
      </c>
      <c r="F21" s="5" t="inlineStr">
        <is>
          <t>—</t>
        </is>
      </c>
      <c r="G21" s="5" t="inlineStr">
        <is>
          <t>—</t>
        </is>
      </c>
      <c r="H21" s="9" t="inlineStr">
        <is>
          <t>Same fields as Invoice tab</t>
        </is>
      </c>
      <c r="I21" s="11" t="inlineStr">
        <is>
          <t>Yes</t>
        </is>
      </c>
      <c r="J21" s="22" t="inlineStr">
        <is>
          <t>✅ READY — NO ACTION NEEDED
All carry over from Invoice tab (Invoice Date, Invoice No., Work Plan No.). Already implemented.</t>
        </is>
      </c>
    </row>
    <row r="22" ht="32" customHeight="1">
      <c r="A22" s="2" t="inlineStr">
        <is>
          <t>Labor Attachment</t>
        </is>
      </c>
      <c r="B22" s="2" t="inlineStr">
        <is>
          <t>Max Rate Cap / Bill Rate Override</t>
        </is>
      </c>
      <c r="C22" s="2" t="inlineStr">
        <is>
          <t>$115/hr (example)</t>
        </is>
      </c>
      <c r="D22" s="2" t="inlineStr">
        <is>
          <t>Static per contract</t>
        </is>
      </c>
      <c r="E22" s="2" t="inlineStr">
        <is>
          <t>One-time setup</t>
        </is>
      </c>
      <c r="F22" s="4" t="n"/>
      <c r="G22" s="4" t="n"/>
      <c r="H22" s="9" t="n"/>
      <c r="I22" s="11" t="inlineStr">
        <is>
          <t>Yes</t>
        </is>
      </c>
      <c r="J22" s="22" t="inlineStr">
        <is>
          <t>✅ READY — NO ACTION NEEDED
One-time setup. Stored on Work Plan. Applies during export as a rate cap.</t>
        </is>
      </c>
    </row>
    <row r="23" ht="32" customHeight="1">
      <c r="A23" s="2" t="inlineStr">
        <is>
          <t>Labor Attachment</t>
        </is>
      </c>
      <c r="B23" s="2" t="inlineStr">
        <is>
          <t>Classification / Name / Task No.</t>
        </is>
      </c>
      <c r="C23" s="2" t="inlineStr">
        <is>
          <t>e.g. Resident Engineer, Imani Lawson</t>
        </is>
      </c>
      <c r="D23" s="2" t="inlineStr">
        <is>
          <t>Static per employee</t>
        </is>
      </c>
      <c r="E23" s="2" t="inlineStr">
        <is>
          <t>One-time setup</t>
        </is>
      </c>
      <c r="F23" s="4" t="n"/>
      <c r="G23" s="4" t="n"/>
      <c r="H23" s="9" t="n"/>
      <c r="I23" s="11" t="inlineStr">
        <is>
          <t>Yes</t>
        </is>
      </c>
      <c r="J23" s="22" t="inlineStr">
        <is>
          <t>✅ READY — NO ACTION NEEDED
Pulled from employee records and linked work plan. Already implemented.</t>
        </is>
      </c>
    </row>
    <row r="24" ht="32" customHeight="1">
      <c r="A24" s="2" t="inlineStr">
        <is>
          <t>Labor Attachment</t>
        </is>
      </c>
      <c r="B24" s="2" t="inlineStr">
        <is>
          <t>Hours (per employee, per period)</t>
        </is>
      </c>
      <c r="C24" s="2" t="inlineStr">
        <is>
          <t>example figures</t>
        </is>
      </c>
      <c r="D24" s="2" t="inlineStr">
        <is>
          <t>Recurring - variable</t>
        </is>
      </c>
      <c r="E24" s="2" t="inlineStr">
        <is>
          <t>Every cycle</t>
        </is>
      </c>
      <c r="F24" s="3" t="n"/>
      <c r="G24" s="3" t="n"/>
      <c r="H24" s="8" t="inlineStr">
        <is>
          <t>This is the core payroll input — where does Procas store approved hours per employee per period?</t>
        </is>
      </c>
      <c r="I24" s="15" t="inlineStr">
        <is>
          <t>TBD waiting for access to GL detail export</t>
        </is>
      </c>
      <c r="J24" s="21" t="inlineStr">
        <is>
          <t>⚠ WAITING ON PROCAS ACCESS — GL DETAIL
Julie confirmed: TBD pending access to GL Detail export from Procas. Currently GL Detail returns zero rows (Procas has not enabled it for Azad yet). Hours currently come from the Timesheet feed, which does store daily hours by task (Julie confirmed). No action needed until GL Detail access is granted — will switch source at that point.</t>
        </is>
      </c>
    </row>
    <row r="25" ht="160.75" customHeight="1">
      <c r="A25" s="2" t="inlineStr">
        <is>
          <t>Labor Attachment</t>
        </is>
      </c>
      <c r="B25" s="2" t="inlineStr">
        <is>
          <t>Rate/Hour (per employee)</t>
        </is>
      </c>
      <c r="C25" s="2" t="inlineStr">
        <is>
          <t>$83/hr (example)</t>
        </is>
      </c>
      <c r="D25" s="2" t="inlineStr">
        <is>
          <t>Static - occasional raises</t>
        </is>
      </c>
      <c r="E25" s="2" t="inlineStr">
        <is>
          <t>As changed</t>
        </is>
      </c>
      <c r="F25" s="4" t="inlineStr">
        <is>
          <t>Report #1: Billing Item 
Report #2 WorkAuth</t>
        </is>
      </c>
      <c r="G25" s="4" t="inlineStr">
        <is>
          <t xml:space="preserve">Columns in Billing Item Report:
Column B- Billing Date Beginning
Column C Billing Date Ending
Column F-LCItem
Column H- Billing Rate
Columns in Worth Auth:
Column J- LC Item
Column M-Organization Desc
Column P- Project
</t>
        </is>
      </c>
      <c r="H25" s="9" t="n"/>
      <c r="I25" s="15" t="n"/>
      <c r="J25" s="22" t="inlineStr">
        <is>
          <t>✅ ALREADY PULLING FROM PROCAS — CONFIRMED
Billing Item report: Col B (Begin), Col C (End), Col F (LC Item), Col H (Billing Rate). System already reads these and applies effective-dated rates. WorkAuth (Col J LC Item, Col M Org Desc, Col P Project) mentioned as secondary source — currently not used.
⚠ QUESTION FOR JULIE: Is WorkAuth used to validate that an LC Item is authorized for a project (authorization check), or is it a primary rate source? If just a check, we can add it as a warning rather than a rate source.</t>
        </is>
      </c>
    </row>
    <row r="26" ht="32" customHeight="1">
      <c r="A26" s="2" t="inlineStr">
        <is>
          <t>Labor Attachment</t>
        </is>
      </c>
      <c r="B26" s="2" t="inlineStr">
        <is>
          <t>Amount / Billed $</t>
        </is>
      </c>
      <c r="C26" s="2" t="inlineStr">
        <is>
          <t>example figures</t>
        </is>
      </c>
      <c r="D26" s="2" t="inlineStr">
        <is>
          <t>Calculated</t>
        </is>
      </c>
      <c r="E26" s="2" t="inlineStr">
        <is>
          <t>Every cycle</t>
        </is>
      </c>
      <c r="F26" s="5" t="inlineStr">
        <is>
          <t>—</t>
        </is>
      </c>
      <c r="G26" s="5" t="inlineStr">
        <is>
          <t>—</t>
        </is>
      </c>
      <c r="H26" s="9" t="n"/>
      <c r="I26" s="11" t="inlineStr">
        <is>
          <t>Yes</t>
        </is>
      </c>
      <c r="J26" s="23" t="inlineStr">
        <is>
          <t>✅ CALCULATED — NO PROCAS PULL NEEDED
= Hours × Rate. Already calculating correctly.</t>
        </is>
      </c>
    </row>
    <row r="27" ht="32" customHeight="1">
      <c r="A27" s="2" t="inlineStr">
        <is>
          <t>Progress Report</t>
        </is>
      </c>
      <c r="B27" s="2" t="inlineStr">
        <is>
          <t>Agreement No. / Work Plan / PO No. / Date / Period</t>
        </is>
      </c>
      <c r="C27" s="2" t="inlineStr">
        <is>
          <t>same as Invoice tab</t>
        </is>
      </c>
      <c r="D27" s="2" t="inlineStr">
        <is>
          <t>Recurring - variable</t>
        </is>
      </c>
      <c r="E27" s="2" t="inlineStr">
        <is>
          <t>Every cycle</t>
        </is>
      </c>
      <c r="F27" s="5" t="inlineStr">
        <is>
          <t>—</t>
        </is>
      </c>
      <c r="G27" s="5" t="inlineStr">
        <is>
          <t>—</t>
        </is>
      </c>
      <c r="H27" s="9" t="inlineStr">
        <is>
          <t>Same fields as Invoice tab</t>
        </is>
      </c>
      <c r="I27" s="11" t="inlineStr">
        <is>
          <t>Yes</t>
        </is>
      </c>
      <c r="J27" s="22" t="inlineStr">
        <is>
          <t>✅ READY — NO ACTION NEEDED
All fields carry over from Invoice tab. Already pre-filling Agreement No., Work Plan, PO No., Date, and Period on the Progress Report.</t>
        </is>
      </c>
    </row>
    <row r="28" ht="32" customHeight="1">
      <c r="A28" s="2" t="inlineStr">
        <is>
          <t>Progress Report</t>
        </is>
      </c>
      <c r="B28" s="2" t="inlineStr">
        <is>
          <t>Narrative bullet list of work performed</t>
        </is>
      </c>
      <c r="C28" s="2" t="inlineStr">
        <is>
          <t>free-text bullets per person</t>
        </is>
      </c>
      <c r="D28" s="2" t="inlineStr">
        <is>
          <t>Manual - not in Procas</t>
        </is>
      </c>
      <c r="E28" s="2" t="inlineStr">
        <is>
          <t>Every cycle</t>
        </is>
      </c>
      <c r="F28" s="5" t="inlineStr">
        <is>
          <t>N/A</t>
        </is>
      </c>
      <c r="G28" s="5" t="inlineStr">
        <is>
          <t>N/A</t>
        </is>
      </c>
      <c r="H28" s="9" t="inlineStr">
        <is>
          <t>Not a data field — each team member writes this themselves. Automation should only pre-fill the header, not this content.</t>
        </is>
      </c>
      <c r="I28" s="11" t="inlineStr">
        <is>
          <t>Yes. Prefill header and footer.</t>
        </is>
      </c>
      <c r="J28" s="21" t="inlineStr">
        <is>
          <t>⚠ QUESTION FOR JULIE — FOOTER CONTENT
Julie confirmed: pre-fill header AND footer. Header is already pre-filled. Footer is not yet built.
ACTION NEEDED FROM JULIE: What should the footer contain? Is it static (e.g. Azad Engineering contact info, certification statement, signature line)? Or does anything change per invoice?</t>
        </is>
      </c>
    </row>
    <row r="29" ht="32" customHeight="1">
      <c r="A29" s="2" t="inlineStr">
        <is>
          <t>Timesheets</t>
        </is>
      </c>
      <c r="B29" s="2" t="inlineStr">
        <is>
          <t>Employee Name</t>
        </is>
      </c>
      <c r="C29" s="2" t="inlineStr">
        <is>
          <t>e.g. Imani Lawson</t>
        </is>
      </c>
      <c r="D29" s="2" t="inlineStr">
        <is>
          <t>Static</t>
        </is>
      </c>
      <c r="E29" s="2" t="inlineStr">
        <is>
          <t>One-time setup</t>
        </is>
      </c>
      <c r="F29" s="4" t="n"/>
      <c r="G29" s="4" t="n"/>
      <c r="H29" s="9" t="n"/>
      <c r="I29" s="11" t="inlineStr">
        <is>
          <t>Yes but Procas reports would also show the employee that worked on each project</t>
        </is>
      </c>
      <c r="J29" s="22" t="inlineStr">
        <is>
          <t>✅ READY — NO ACTION NEEDED
Employee names pulled from Procas Timesheet feed (Personnel Name). Already implemented.</t>
        </is>
      </c>
    </row>
    <row r="30" ht="32" customHeight="1">
      <c r="A30" s="2" t="inlineStr">
        <is>
          <t>Timesheets</t>
        </is>
      </c>
      <c r="B30" s="2" t="inlineStr">
        <is>
          <t>Week Ending date</t>
        </is>
      </c>
      <c r="C30" s="2" t="inlineStr">
        <is>
          <t>e.g. 6/5/2026</t>
        </is>
      </c>
      <c r="D30" s="2" t="inlineStr">
        <is>
          <t>Recurring - variable</t>
        </is>
      </c>
      <c r="E30" s="2" t="inlineStr">
        <is>
          <t>Every week</t>
        </is>
      </c>
      <c r="F30" s="4" t="n"/>
      <c r="G30" s="4" t="n"/>
      <c r="H30" s="9" t="n"/>
      <c r="I30" s="11" t="inlineStr">
        <is>
          <t>Would be based on calendar and billing period.</t>
        </is>
      </c>
      <c r="J30" s="22" t="inlineStr">
        <is>
          <t>✅ READY — NO ACTION NEEDED
Week ending date derived from Procas time period dates and the billing cycle. Already implemented.</t>
        </is>
      </c>
    </row>
    <row r="31" ht="178.25" customHeight="1">
      <c r="A31" s="2" t="inlineStr">
        <is>
          <t>Timesheets Overtime</t>
        </is>
      </c>
      <c r="B31" s="2" t="inlineStr">
        <is>
          <t>Daily hours by task (Sat–Fri)</t>
        </is>
      </c>
      <c r="C31" s="2" t="inlineStr">
        <is>
          <t>example figures</t>
        </is>
      </c>
      <c r="D31" s="2" t="inlineStr">
        <is>
          <t>Recurring - variable</t>
        </is>
      </c>
      <c r="E31" s="2" t="inlineStr">
        <is>
          <t>Every week</t>
        </is>
      </c>
      <c r="F31" s="3" t="inlineStr">
        <is>
          <t>Timesheet</t>
        </is>
      </c>
      <c r="G31" s="13" t="inlineStr">
        <is>
          <t>Column B- Personnel Name
Column E-Account Desc (If worked Direct Time Field, it is billeable hours. If worked sick/pto/holiday needs to be captured on timesheet. If worked G&amp;A, B&amp;P or Overhead, capture as PTO up to employee working 8 hours in one day)
Column H-Project (this ties them to which invoice the hours are for)
Column L- LC Item
Column N- Paycode. R = regular pay  O==Overtime D= doubletime N= Nightshift,NO= Night Shift Overtime ND= Nightshift Doubletime
Column P- WorkDate
Column Q-Hours Worked
Column R- Status (should only export if approved. Not sure if there is a way to export and have the numbers be red if it's Wwaiitng for Supervisor/Unsubmitted but not yet approved. Can only do invoices if it's approved</t>
        </is>
      </c>
      <c r="H31" s="8" t="inlineStr">
        <is>
          <t>Confirm granularity: does Procas store daily hours by task, or only weekly/period totals? This determines what the timesheet export can actually show.</t>
        </is>
      </c>
      <c r="I31" s="13" t="inlineStr">
        <is>
          <t>Yes stores daily hours</t>
        </is>
      </c>
      <c r="J31" s="24" t="inlineStr">
        <is>
          <t>🚩 FLAG — NEW RULES + APPROVAL GATE NOT YET BUILT
Julie confirmed Timesheet columns to use:
  • Col B = Personnel Name
  • Col E = Account Desc → classification rule:
      - 'Direct Time Field' = billable hours
      - Sick/PTO/Holiday = capture as PTO/holiday
      - G&amp;A / B&amp;P / Overhead = capture as PTO, capped at 8 hrs/day ← NOT YET BUILT
  • Col H = Project (ties to invoice)
  • Col L = LC Item
  • Col N = Paycode: R=Regular, O=OT, D=DT, N=Nightshift, NO=Night OT, ND=Night DT ← Nightshift not yet mapped
  • Col P = WorkDate
  • Col Q = Hours Worked
  • Col R = Status → should only export if Approved ← currently warns but does not block
ACTION NEEDED FROM JULIE:
1. Do BART employees charge G&amp;A/B&amp;P/Overhead hours? If yes, which employee/period as example?
2. Do BART employees work nightshift (N/NO/ND)? If yes, do these appear separately on Labor Attachment or fold into regular/OT?
3. Should unapproved hours (status ≠ Approved) be hidden entirely, or shown in red and block export?</t>
        </is>
      </c>
    </row>
    <row r="32" ht="32" customHeight="1">
      <c r="A32" s="2" t="inlineStr">
        <is>
          <t>Timesheets</t>
        </is>
      </c>
      <c r="B32" s="2" t="inlineStr">
        <is>
          <t>PTO / Holiday hours</t>
        </is>
      </c>
      <c r="C32" s="2" t="inlineStr">
        <is>
          <t>example figures</t>
        </is>
      </c>
      <c r="D32" s="2" t="inlineStr">
        <is>
          <t>Recurring - variable</t>
        </is>
      </c>
      <c r="E32" s="2" t="inlineStr">
        <is>
          <t>Every week</t>
        </is>
      </c>
      <c r="F32" s="4" t="n"/>
      <c r="G32" s="4" t="n"/>
      <c r="H32" s="9" t="n"/>
      <c r="I32" s="14" t="inlineStr">
        <is>
          <t>This should be down in the same export as employee's timesheet with hours. Let me know if it doesn't show up. Shows up in Timesheets, Column E</t>
        </is>
      </c>
      <c r="J32" s="22" t="inlineStr">
        <is>
          <t>✅ READY — NO ACTION NEEDED
PTO and Holiday hours captured from Timesheet Col E (Account Desc). Already pulling and categorizing these. Confirmed they appear in same Timesheet export.</t>
        </is>
      </c>
    </row>
    <row r="33" ht="32" customHeight="1">
      <c r="A33" s="2" t="inlineStr">
        <is>
          <t>Timesheets</t>
        </is>
      </c>
      <c r="B33" s="2" t="inlineStr">
        <is>
          <t>Submitted by / Approved by</t>
        </is>
      </c>
      <c r="C33" s="2" t="inlineStr">
        <is>
          <t>name + date</t>
        </is>
      </c>
      <c r="D33" s="2" t="inlineStr">
        <is>
          <t>Workflow / signature</t>
        </is>
      </c>
      <c r="E33" s="2" t="inlineStr">
        <is>
          <t>Every week</t>
        </is>
      </c>
      <c r="F33" s="4" t="n"/>
      <c r="G33" s="4" t="n"/>
      <c r="H33" s="9" t="inlineStr">
        <is>
          <t>Likely not needed for the automated export — confirm</t>
        </is>
      </c>
      <c r="I33" s="10" t="inlineStr">
        <is>
          <t>Yes, we can upload the pdfs with signed timesheets for Procas. For BART we don't get them signed just use the font that makes it look like a signature</t>
        </is>
      </c>
      <c r="J33" s="22" t="inlineStr">
        <is>
          <t>✅ READY — NO ACTION NEEDED
Julie confirmed: BART uses a signature font rather than a wet signature. System supports signature image upload. PDFs with signed timesheets can be uploaded to Procas separately. No additional build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2026-08-06T20:11:31Z</dcterms:created>
  <dcterms:modified xsi:type="dcterms:W3CDTF">2026-08-12T21:43:25Z</dcterms:modified>
  <cp:lastModifiedBy>G Mora</cp:lastModifiedBy>
</cp:coreProperties>
</file>