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531EDA5E-C6C6-3D4B-97B6-438E4D343C44}" xr6:coauthVersionLast="47" xr6:coauthVersionMax="47" xr10:uidLastSave="{00000000-0000-0000-0000-000000000000}"/>
  <bookViews>
    <workbookView xWindow="780" yWindow="1100" windowWidth="27640" windowHeight="16160" xr2:uid="{BD35D966-5927-ED4D-A340-10B3C24B34DF}"/>
  </bookViews>
  <sheets>
    <sheet name="Sub Calc _revised" sheetId="1" r:id="rId1"/>
  </sheets>
  <externalReferences>
    <externalReference r:id="rId2"/>
  </externalReferences>
  <definedNames>
    <definedName name="amt">#REF!</definedName>
    <definedName name="BALANCE" localSheetId="0">'Sub Calc _revised'!$G$52</definedName>
    <definedName name="BSIWhichPageSetup" hidden="1">1</definedName>
    <definedName name="BSIWhichPageSetup_0" hidden="1">"0þ"</definedName>
    <definedName name="caddate">#REF!</definedName>
    <definedName name="contno">#REF!</definedName>
    <definedName name="FEEBAL" localSheetId="0">'Sub Calc _revised'!#REF!</definedName>
    <definedName name="FEEBAL">'[1]Sub Calc'!#REF!</definedName>
    <definedName name="FIXFEE" localSheetId="0">'Sub Calc _revised'!$H$47</definedName>
    <definedName name="invdate">#REF!</definedName>
    <definedName name="invno">#REF!</definedName>
    <definedName name="INVOICE" localSheetId="0">'Sub Calc _revised'!$H$51</definedName>
    <definedName name="INVOICE">'[1]Sub Calc'!$H$51</definedName>
    <definedName name="month">#REF!</definedName>
    <definedName name="pm">#REF!</definedName>
    <definedName name="_xlnm.Print_Area" localSheetId="0">'Sub Calc _revised'!$A$1:$K$52</definedName>
    <definedName name="proj">#REF!</definedName>
    <definedName name="projno">#REF!</definedName>
    <definedName name="wscope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0" i="1" l="1"/>
  <c r="G49" i="1"/>
  <c r="E49" i="1"/>
  <c r="J48" i="1"/>
  <c r="G48" i="1"/>
  <c r="I47" i="1"/>
  <c r="H44" i="1"/>
  <c r="J44" i="1" s="1"/>
  <c r="H43" i="1"/>
  <c r="J43" i="1" s="1"/>
  <c r="J37" i="1"/>
  <c r="I37" i="1"/>
  <c r="H37" i="1"/>
  <c r="G37" i="1"/>
  <c r="G44" i="1" s="1"/>
  <c r="J36" i="1"/>
  <c r="J35" i="1"/>
  <c r="J34" i="1"/>
  <c r="J33" i="1"/>
  <c r="H31" i="1"/>
  <c r="H59" i="1" s="1"/>
  <c r="I30" i="1"/>
  <c r="G30" i="1"/>
  <c r="I29" i="1"/>
  <c r="G29" i="1"/>
  <c r="I28" i="1"/>
  <c r="G28" i="1"/>
  <c r="I27" i="1"/>
  <c r="G27" i="1"/>
  <c r="G31" i="1" s="1"/>
  <c r="K31" i="1" s="1"/>
  <c r="I26" i="1"/>
  <c r="J25" i="1"/>
  <c r="J24" i="1"/>
  <c r="J31" i="1" s="1"/>
  <c r="I23" i="1"/>
  <c r="I31" i="1" s="1"/>
  <c r="J19" i="1"/>
  <c r="H19" i="1"/>
  <c r="G19" i="1"/>
  <c r="J18" i="1"/>
  <c r="J17" i="1"/>
  <c r="J16" i="1"/>
  <c r="G14" i="1"/>
  <c r="D14" i="1"/>
  <c r="J13" i="1"/>
  <c r="I13" i="1" s="1"/>
  <c r="I14" i="1" s="1"/>
  <c r="H13" i="1"/>
  <c r="Q12" i="1"/>
  <c r="Q13" i="1" s="1"/>
  <c r="J12" i="1"/>
  <c r="H12" i="1"/>
  <c r="H11" i="1"/>
  <c r="J11" i="1" s="1"/>
  <c r="J14" i="1" s="1"/>
  <c r="F11" i="1"/>
  <c r="E11" i="1"/>
  <c r="D11" i="1"/>
  <c r="J10" i="1"/>
  <c r="D10" i="1"/>
  <c r="J9" i="1"/>
  <c r="G9" i="1"/>
  <c r="J8" i="1"/>
  <c r="G8" i="1"/>
  <c r="G10" i="1" s="1"/>
  <c r="J7" i="1"/>
  <c r="J20" i="1" s="1"/>
  <c r="H7" i="1"/>
  <c r="F7" i="1"/>
  <c r="E7" i="1" s="1"/>
  <c r="D7" i="1"/>
  <c r="J3" i="1"/>
  <c r="J2" i="1"/>
  <c r="A1" i="1"/>
  <c r="J54" i="1" l="1"/>
  <c r="J47" i="1"/>
  <c r="I8" i="1"/>
  <c r="I48" i="1"/>
  <c r="I9" i="1"/>
  <c r="H14" i="1"/>
  <c r="H47" i="1"/>
  <c r="H49" i="1"/>
  <c r="J49" i="1" s="1"/>
  <c r="H9" i="1"/>
  <c r="I7" i="1"/>
  <c r="Q14" i="1"/>
  <c r="G20" i="1"/>
  <c r="H48" i="1"/>
  <c r="H8" i="1"/>
  <c r="J1" i="1"/>
  <c r="G39" i="1" l="1"/>
  <c r="G41" i="1" s="1"/>
  <c r="G43" i="1"/>
  <c r="G47" i="1" s="1"/>
  <c r="K47" i="1" s="1"/>
  <c r="Q15" i="1"/>
  <c r="Q20" i="1" s="1"/>
  <c r="I20" i="1"/>
  <c r="I51" i="1" s="1"/>
  <c r="I10" i="1"/>
  <c r="H10" i="1"/>
  <c r="H20" i="1" s="1"/>
  <c r="H39" i="1" s="1"/>
  <c r="K20" i="1"/>
  <c r="G51" i="1"/>
  <c r="H41" i="1" l="1"/>
  <c r="J39" i="1"/>
  <c r="G54" i="1"/>
  <c r="G55" i="1" s="1"/>
  <c r="H51" i="1"/>
  <c r="H58" i="1" s="1"/>
  <c r="J41" i="1" l="1"/>
  <c r="K41" i="1" s="1"/>
  <c r="J51" i="1"/>
  <c r="K51" i="1" l="1"/>
  <c r="G52" i="1"/>
</calcChain>
</file>

<file path=xl/sharedStrings.xml><?xml version="1.0" encoding="utf-8"?>
<sst xmlns="http://schemas.openxmlformats.org/spreadsheetml/2006/main" count="72" uniqueCount="66">
  <si>
    <t>Date:</t>
  </si>
  <si>
    <t>INVOICE DETAIL ATTACHMENT</t>
  </si>
  <si>
    <t>Invoice No.</t>
  </si>
  <si>
    <t>Work Plan No.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</si>
  <si>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</si>
  <si>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</si>
  <si>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</si>
  <si>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</si>
  <si>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</si>
  <si>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</si>
  <si>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</si>
  <si>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</si>
  <si>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Previous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</si>
  <si>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</si>
  <si>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</si>
  <si>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</si>
  <si>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</si>
  <si>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</si>
  <si>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</si>
  <si>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</si>
  <si>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</si>
  <si>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Field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</si>
  <si>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</si>
  <si>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</si>
  <si>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</si>
  <si>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</si>
  <si>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</si>
  <si>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</si>
  <si>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</si>
  <si>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</si>
  <si>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</si>
  <si>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</si>
  <si>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</si>
  <si>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</si>
  <si>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SS OT Premium(Jordy)</t>
  </si>
  <si>
    <t>37/HR</t>
  </si>
  <si>
    <t>HRS</t>
  </si>
  <si>
    <t>SS DT Premium(Jordy)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</si>
  <si>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</si>
  <si>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</si>
  <si>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</si>
  <si>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</si>
  <si>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</si>
  <si>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</si>
  <si>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</si>
  <si>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</si>
  <si>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</si>
  <si>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</si>
  <si>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</si>
  <si>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</si>
  <si>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</si>
  <si>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</si>
  <si>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</si>
  <si>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</si>
  <si>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</si>
  <si>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</si>
  <si>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</si>
  <si>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sz val="10"/>
        <rFont val="Arial"/>
        <family val="2"/>
      </rPr>
      <t>0.00%</t>
    </r>
    <r>
      <rPr>
        <sz val="10"/>
        <rFont val="Arial"/>
        <family val="2"/>
      </rPr>
      <t xml:space="preserve"> x Direct labor)</t>
    </r>
  </si>
  <si>
    <r>
      <t>FCCM Field (</t>
    </r>
    <r>
      <rPr>
        <u/>
        <sz val="10"/>
        <rFont val="Arial"/>
        <family val="2"/>
      </rPr>
      <t>0.00%</t>
    </r>
    <r>
      <rPr>
        <sz val="10"/>
        <rFont val="Arial"/>
        <family val="2"/>
      </rPr>
      <t xml:space="preserve"> x Direct labor)</t>
    </r>
  </si>
  <si>
    <t>Rounding</t>
  </si>
  <si>
    <t>Total Amount Due</t>
  </si>
  <si>
    <t>Remaining Balance</t>
  </si>
  <si>
    <t>Original</t>
  </si>
  <si>
    <t>Checked</t>
  </si>
  <si>
    <t>labor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</si>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</sst>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0&quot; Hrs.&quot;"/>
    <numFmt numFmtId="166" formatCode="0.00&quot; Hrs.&quot;"/>
    <numFmt numFmtId="167" formatCode="0.0&quot; Hrs.&quot;"/>
    <numFmt numFmtId="168" formatCode="0.0%"/>
  </numFmts>
  <fonts count="30">
    <font>
      <sz val="12"/>
      <name val="Helv"/>
    </font>
    <font>
      <b/>
      <sz val="12"/>
      <color rgb="FF0070C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Helv"/>
    </font>
    <font>
      <sz val="10"/>
      <color theme="1"/>
      <name val="Helv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u/>
      <sz val="11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rgb="FFFF0000"/>
      <name val="Helv"/>
    </font>
    <font>
      <b/>
      <sz val="12"/>
      <name val="Helv"/>
    </font>
    <font>
      <i/>
      <sz val="1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sz val="8"/>
      <color rgb="FFFFFF00"/>
      <name val="Arial"/>
      <family val="2"/>
    </font>
    <font>
      <sz val="8"/>
      <color theme="1"/>
      <name val="Calibri"/>
      <family val="2"/>
      <scheme val="minor"/>
    </font>
    <font>
      <b/>
      <sz val="11"/>
      <color rgb="FFC00000"/>
      <name val="Arial"/>
      <family val="2"/>
    </font>
    <font>
      <sz val="11"/>
      <color rgb="FFFF0000"/>
      <name val="Arial"/>
      <family val="2"/>
    </font>
    <font>
      <sz val="11"/>
      <color rgb="FFFFFF00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</cellStyleXfs>
  <cellXfs count="19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/>
    <xf numFmtId="44" fontId="2" fillId="2" borderId="2" xfId="2" applyFont="1" applyFill="1" applyBorder="1"/>
    <xf numFmtId="44" fontId="4" fillId="2" borderId="2" xfId="2" applyFont="1" applyFill="1" applyBorder="1"/>
    <xf numFmtId="14" fontId="4" fillId="2" borderId="2" xfId="2" applyNumberFormat="1" applyFont="1" applyFill="1" applyBorder="1" applyAlignment="1">
      <alignment horizontal="left"/>
    </xf>
    <xf numFmtId="0" fontId="4" fillId="2" borderId="3" xfId="0" applyFont="1" applyFill="1" applyBorder="1"/>
    <xf numFmtId="0" fontId="2" fillId="0" borderId="0" xfId="0" applyFont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2" borderId="5" xfId="0" applyFont="1" applyFill="1" applyBorder="1"/>
    <xf numFmtId="44" fontId="2" fillId="2" borderId="5" xfId="2" applyFont="1" applyFill="1" applyBorder="1"/>
    <xf numFmtId="44" fontId="4" fillId="2" borderId="5" xfId="2" applyFont="1" applyFill="1" applyBorder="1"/>
    <xf numFmtId="0" fontId="7" fillId="2" borderId="5" xfId="4" applyFont="1" applyFill="1" applyBorder="1" applyAlignment="1">
      <alignment horizontal="left"/>
    </xf>
    <xf numFmtId="0" fontId="7" fillId="2" borderId="6" xfId="4" applyFont="1" applyFill="1" applyBorder="1" applyAlignment="1">
      <alignment horizontal="left"/>
    </xf>
    <xf numFmtId="0" fontId="5" fillId="0" borderId="0" xfId="4" applyFont="1" applyAlignment="1">
      <alignment horizontal="left"/>
    </xf>
    <xf numFmtId="0" fontId="8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44" fontId="11" fillId="0" borderId="0" xfId="2" applyFont="1" applyFill="1"/>
    <xf numFmtId="43" fontId="4" fillId="0" borderId="0" xfId="1" quotePrefix="1" applyFont="1" applyFill="1" applyAlignment="1">
      <alignment horizontal="right"/>
    </xf>
    <xf numFmtId="44" fontId="4" fillId="0" borderId="0" xfId="2" applyFont="1" applyFill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left" vertical="top"/>
    </xf>
    <xf numFmtId="0" fontId="11" fillId="0" borderId="0" xfId="0" quotePrefix="1" applyFont="1" applyAlignment="1">
      <alignment horizontal="left" vertical="top"/>
    </xf>
    <xf numFmtId="44" fontId="10" fillId="3" borderId="7" xfId="2" applyFont="1" applyFill="1" applyBorder="1" applyAlignment="1">
      <alignment horizontal="center" vertical="center"/>
    </xf>
    <xf numFmtId="44" fontId="10" fillId="3" borderId="8" xfId="2" applyFont="1" applyFill="1" applyBorder="1" applyAlignment="1">
      <alignment horizontal="center" vertical="center" wrapText="1"/>
    </xf>
    <xf numFmtId="44" fontId="10" fillId="3" borderId="9" xfId="2" applyFont="1" applyFill="1" applyBorder="1" applyAlignment="1">
      <alignment horizontal="center" vertical="center" wrapText="1"/>
    </xf>
    <xf numFmtId="0" fontId="10" fillId="3" borderId="8" xfId="0" quotePrefix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49" fontId="13" fillId="0" borderId="0" xfId="0" applyNumberFormat="1" applyFont="1" applyAlignment="1">
      <alignment horizontal="center" wrapText="1"/>
    </xf>
    <xf numFmtId="164" fontId="13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44" fontId="11" fillId="4" borderId="1" xfId="2" applyFont="1" applyFill="1" applyBorder="1"/>
    <xf numFmtId="44" fontId="11" fillId="0" borderId="11" xfId="2" applyFont="1" applyFill="1" applyBorder="1"/>
    <xf numFmtId="44" fontId="11" fillId="0" borderId="2" xfId="2" quotePrefix="1" applyFont="1" applyFill="1" applyBorder="1" applyAlignment="1">
      <alignment horizontal="left"/>
    </xf>
    <xf numFmtId="0" fontId="11" fillId="0" borderId="3" xfId="0" applyFont="1" applyBorder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14" fillId="0" borderId="0" xfId="0" applyFont="1"/>
    <xf numFmtId="165" fontId="11" fillId="0" borderId="8" xfId="0" applyNumberFormat="1" applyFont="1" applyBorder="1"/>
    <xf numFmtId="165" fontId="11" fillId="0" borderId="7" xfId="0" applyNumberFormat="1" applyFont="1" applyBorder="1"/>
    <xf numFmtId="44" fontId="11" fillId="4" borderId="12" xfId="2" applyFont="1" applyFill="1" applyBorder="1"/>
    <xf numFmtId="44" fontId="11" fillId="0" borderId="13" xfId="2" applyFont="1" applyFill="1" applyBorder="1"/>
    <xf numFmtId="44" fontId="11" fillId="0" borderId="0" xfId="2" quotePrefix="1" applyFont="1" applyFill="1" applyBorder="1" applyAlignment="1">
      <alignment horizontal="left"/>
    </xf>
    <xf numFmtId="0" fontId="11" fillId="0" borderId="14" xfId="0" applyFont="1" applyBorder="1"/>
    <xf numFmtId="0" fontId="10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166" fontId="3" fillId="0" borderId="8" xfId="0" applyNumberFormat="1" applyFont="1" applyBorder="1"/>
    <xf numFmtId="166" fontId="3" fillId="0" borderId="7" xfId="0" applyNumberFormat="1" applyFont="1" applyBorder="1"/>
    <xf numFmtId="43" fontId="6" fillId="0" borderId="0" xfId="1" applyFont="1" applyFill="1" applyBorder="1"/>
    <xf numFmtId="49" fontId="13" fillId="0" borderId="0" xfId="1" applyNumberFormat="1" applyFont="1" applyFill="1" applyBorder="1"/>
    <xf numFmtId="43" fontId="15" fillId="0" borderId="15" xfId="0" applyNumberFormat="1" applyFont="1" applyBorder="1" applyAlignment="1">
      <alignment horizontal="center"/>
    </xf>
    <xf numFmtId="43" fontId="6" fillId="0" borderId="0" xfId="0" applyNumberFormat="1" applyFont="1" applyAlignment="1">
      <alignment horizontal="left"/>
    </xf>
    <xf numFmtId="43" fontId="6" fillId="0" borderId="0" xfId="0" applyNumberFormat="1" applyFont="1"/>
    <xf numFmtId="10" fontId="11" fillId="0" borderId="0" xfId="3" applyNumberFormat="1" applyFont="1" applyFill="1"/>
    <xf numFmtId="167" fontId="11" fillId="0" borderId="0" xfId="3" applyNumberFormat="1" applyFont="1" applyFill="1"/>
    <xf numFmtId="44" fontId="11" fillId="4" borderId="13" xfId="2" applyFont="1" applyFill="1" applyBorder="1"/>
    <xf numFmtId="0" fontId="0" fillId="0" borderId="16" xfId="0" applyBorder="1"/>
    <xf numFmtId="2" fontId="16" fillId="0" borderId="16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44" fontId="11" fillId="0" borderId="0" xfId="2" applyFont="1" applyFill="1" applyBorder="1"/>
    <xf numFmtId="10" fontId="11" fillId="0" borderId="5" xfId="3" applyNumberFormat="1" applyFont="1" applyFill="1" applyBorder="1"/>
    <xf numFmtId="2" fontId="0" fillId="0" borderId="16" xfId="0" applyNumberFormat="1" applyBorder="1" applyAlignment="1">
      <alignment horizontal="left"/>
    </xf>
    <xf numFmtId="0" fontId="0" fillId="0" borderId="0" xfId="0" applyAlignment="1">
      <alignment horizontal="left"/>
    </xf>
    <xf numFmtId="44" fontId="10" fillId="0" borderId="0" xfId="2" applyFont="1" applyFill="1" applyBorder="1" applyAlignment="1">
      <alignment horizontal="center" vertical="center"/>
    </xf>
    <xf numFmtId="10" fontId="18" fillId="0" borderId="0" xfId="0" applyNumberFormat="1" applyFont="1"/>
    <xf numFmtId="167" fontId="11" fillId="0" borderId="0" xfId="0" applyNumberFormat="1" applyFont="1"/>
    <xf numFmtId="44" fontId="11" fillId="4" borderId="7" xfId="2" applyFont="1" applyFill="1" applyBorder="1"/>
    <xf numFmtId="44" fontId="11" fillId="0" borderId="8" xfId="2" applyFont="1" applyFill="1" applyBorder="1"/>
    <xf numFmtId="43" fontId="13" fillId="0" borderId="0" xfId="1" applyFont="1" applyFill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6" fontId="3" fillId="5" borderId="8" xfId="0" applyNumberFormat="1" applyFont="1" applyFill="1" applyBorder="1"/>
    <xf numFmtId="166" fontId="19" fillId="0" borderId="8" xfId="0" applyNumberFormat="1" applyFont="1" applyBorder="1"/>
    <xf numFmtId="44" fontId="11" fillId="5" borderId="13" xfId="2" applyFont="1" applyFill="1" applyBorder="1"/>
    <xf numFmtId="2" fontId="11" fillId="0" borderId="0" xfId="0" applyNumberFormat="1" applyFont="1"/>
    <xf numFmtId="165" fontId="11" fillId="0" borderId="0" xfId="0" applyNumberFormat="1" applyFont="1"/>
    <xf numFmtId="44" fontId="11" fillId="4" borderId="13" xfId="5" applyFont="1" applyFill="1" applyBorder="1"/>
    <xf numFmtId="166" fontId="3" fillId="0" borderId="0" xfId="0" applyNumberFormat="1" applyFont="1"/>
    <xf numFmtId="43" fontId="11" fillId="0" borderId="0" xfId="0" applyNumberFormat="1" applyFont="1"/>
    <xf numFmtId="10" fontId="11" fillId="0" borderId="0" xfId="3" applyNumberFormat="1" applyFont="1" applyFill="1" applyBorder="1"/>
    <xf numFmtId="167" fontId="11" fillId="0" borderId="0" xfId="3" applyNumberFormat="1" applyFont="1" applyFill="1" applyBorder="1"/>
    <xf numFmtId="44" fontId="11" fillId="5" borderId="8" xfId="2" applyFont="1" applyFill="1" applyBorder="1"/>
    <xf numFmtId="10" fontId="11" fillId="0" borderId="0" xfId="0" applyNumberFormat="1" applyFont="1"/>
    <xf numFmtId="9" fontId="0" fillId="0" borderId="0" xfId="0" applyNumberFormat="1" applyAlignment="1">
      <alignment horizontal="left"/>
    </xf>
    <xf numFmtId="0" fontId="11" fillId="5" borderId="0" xfId="0" applyFont="1" applyFill="1" applyAlignment="1">
      <alignment horizontal="left"/>
    </xf>
    <xf numFmtId="165" fontId="11" fillId="5" borderId="0" xfId="0" applyNumberFormat="1" applyFont="1" applyFill="1"/>
    <xf numFmtId="0" fontId="11" fillId="5" borderId="14" xfId="0" applyFont="1" applyFill="1" applyBorder="1"/>
    <xf numFmtId="0" fontId="17" fillId="0" borderId="16" xfId="0" applyFont="1" applyBorder="1" applyAlignment="1">
      <alignment horizontal="left"/>
    </xf>
    <xf numFmtId="0" fontId="11" fillId="5" borderId="0" xfId="0" applyFont="1" applyFill="1"/>
    <xf numFmtId="0" fontId="0" fillId="0" borderId="16" xfId="0" applyBorder="1" applyAlignment="1">
      <alignment horizontal="left"/>
    </xf>
    <xf numFmtId="0" fontId="11" fillId="5" borderId="0" xfId="0" quotePrefix="1" applyFont="1" applyFill="1" applyAlignment="1">
      <alignment horizontal="left"/>
    </xf>
    <xf numFmtId="0" fontId="0" fillId="0" borderId="0" xfId="0" quotePrefix="1" applyAlignment="1">
      <alignment horizontal="left"/>
    </xf>
    <xf numFmtId="0" fontId="10" fillId="3" borderId="0" xfId="0" quotePrefix="1" applyFont="1" applyFill="1" applyAlignment="1">
      <alignment horizontal="left"/>
    </xf>
    <xf numFmtId="0" fontId="11" fillId="3" borderId="0" xfId="0" quotePrefix="1" applyFont="1" applyFill="1" applyAlignment="1">
      <alignment horizontal="center"/>
    </xf>
    <xf numFmtId="0" fontId="11" fillId="3" borderId="0" xfId="0" applyFont="1" applyFill="1"/>
    <xf numFmtId="0" fontId="10" fillId="3" borderId="0" xfId="0" quotePrefix="1" applyFont="1" applyFill="1" applyAlignment="1">
      <alignment horizontal="left"/>
    </xf>
    <xf numFmtId="44" fontId="11" fillId="3" borderId="12" xfId="2" applyFont="1" applyFill="1" applyBorder="1"/>
    <xf numFmtId="44" fontId="11" fillId="3" borderId="13" xfId="2" applyFont="1" applyFill="1" applyBorder="1"/>
    <xf numFmtId="168" fontId="11" fillId="3" borderId="14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left"/>
    </xf>
    <xf numFmtId="0" fontId="14" fillId="0" borderId="0" xfId="0" quotePrefix="1" applyFont="1" applyAlignment="1">
      <alignment horizontal="left"/>
    </xf>
    <xf numFmtId="0" fontId="3" fillId="0" borderId="0" xfId="0" applyFont="1"/>
    <xf numFmtId="6" fontId="11" fillId="0" borderId="0" xfId="0" applyNumberFormat="1" applyFont="1"/>
    <xf numFmtId="43" fontId="6" fillId="0" borderId="0" xfId="1" applyFont="1" applyFill="1" applyBorder="1" applyAlignment="1">
      <alignment horizontal="left"/>
    </xf>
    <xf numFmtId="2" fontId="12" fillId="0" borderId="0" xfId="2" applyNumberFormat="1" applyFont="1" applyFill="1" applyBorder="1" applyAlignment="1">
      <alignment horizontal="left"/>
    </xf>
    <xf numFmtId="44" fontId="11" fillId="5" borderId="13" xfId="2" applyFont="1" applyFill="1" applyBorder="1" applyAlignment="1">
      <alignment horizontal="center"/>
    </xf>
    <xf numFmtId="44" fontId="11" fillId="0" borderId="13" xfId="2" applyFont="1" applyFill="1" applyBorder="1" applyAlignment="1">
      <alignment horizontal="center"/>
    </xf>
    <xf numFmtId="0" fontId="10" fillId="0" borderId="0" xfId="0" quotePrefix="1" applyFont="1" applyAlignment="1">
      <alignment horizontal="left"/>
    </xf>
    <xf numFmtId="0" fontId="3" fillId="5" borderId="0" xfId="0" applyFont="1" applyFill="1"/>
    <xf numFmtId="8" fontId="11" fillId="5" borderId="0" xfId="0" applyNumberFormat="1" applyFont="1" applyFill="1"/>
    <xf numFmtId="0" fontId="10" fillId="3" borderId="0" xfId="0" applyFont="1" applyFill="1" applyAlignment="1">
      <alignment horizontal="left"/>
    </xf>
    <xf numFmtId="0" fontId="11" fillId="3" borderId="0" xfId="0" quotePrefix="1" applyFont="1" applyFill="1" applyAlignment="1">
      <alignment horizontal="left"/>
    </xf>
    <xf numFmtId="44" fontId="11" fillId="3" borderId="13" xfId="2" applyFont="1" applyFill="1" applyBorder="1" applyAlignment="1">
      <alignment horizontal="center"/>
    </xf>
    <xf numFmtId="9" fontId="11" fillId="3" borderId="14" xfId="3" applyFont="1" applyFill="1" applyBorder="1" applyAlignment="1">
      <alignment horizontal="center"/>
    </xf>
    <xf numFmtId="8" fontId="11" fillId="0" borderId="0" xfId="0" applyNumberFormat="1" applyFont="1"/>
    <xf numFmtId="44" fontId="11" fillId="5" borderId="12" xfId="2" applyFont="1" applyFill="1" applyBorder="1"/>
    <xf numFmtId="44" fontId="11" fillId="5" borderId="12" xfId="2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1" fillId="5" borderId="0" xfId="0" applyFont="1" applyFill="1" applyAlignment="1">
      <alignment horizontal="center"/>
    </xf>
    <xf numFmtId="9" fontId="11" fillId="5" borderId="0" xfId="0" applyNumberFormat="1" applyFont="1" applyFill="1"/>
    <xf numFmtId="43" fontId="11" fillId="3" borderId="0" xfId="0" applyNumberFormat="1" applyFont="1" applyFill="1"/>
    <xf numFmtId="0" fontId="14" fillId="0" borderId="0" xfId="0" applyFont="1" applyAlignment="1">
      <alignment horizontal="left"/>
    </xf>
    <xf numFmtId="43" fontId="11" fillId="0" borderId="0" xfId="1" applyFont="1" applyFill="1" applyBorder="1"/>
    <xf numFmtId="43" fontId="11" fillId="0" borderId="0" xfId="1" quotePrefix="1" applyFont="1" applyFill="1" applyAlignment="1">
      <alignment horizontal="left"/>
    </xf>
    <xf numFmtId="43" fontId="11" fillId="0" borderId="0" xfId="1" applyFont="1" applyFill="1"/>
    <xf numFmtId="44" fontId="11" fillId="0" borderId="12" xfId="2" applyFont="1" applyFill="1" applyBorder="1"/>
    <xf numFmtId="10" fontId="11" fillId="5" borderId="0" xfId="3" applyNumberFormat="1" applyFont="1" applyFill="1" applyBorder="1"/>
    <xf numFmtId="43" fontId="11" fillId="5" borderId="0" xfId="1" applyFont="1" applyFill="1" applyBorder="1"/>
    <xf numFmtId="9" fontId="11" fillId="0" borderId="0" xfId="0" applyNumberFormat="1" applyFont="1"/>
    <xf numFmtId="0" fontId="18" fillId="0" borderId="0" xfId="0" applyFont="1"/>
    <xf numFmtId="43" fontId="11" fillId="0" borderId="0" xfId="1" quotePrefix="1" applyFont="1" applyFill="1" applyBorder="1" applyAlignment="1">
      <alignment horizontal="left"/>
    </xf>
    <xf numFmtId="167" fontId="3" fillId="0" borderId="0" xfId="3" applyNumberFormat="1" applyFont="1" applyFill="1"/>
    <xf numFmtId="168" fontId="11" fillId="0" borderId="14" xfId="3" applyNumberFormat="1" applyFont="1" applyFill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1" fillId="0" borderId="14" xfId="0" quotePrefix="1" applyFont="1" applyBorder="1" applyAlignment="1">
      <alignment horizontal="left"/>
    </xf>
    <xf numFmtId="44" fontId="21" fillId="3" borderId="4" xfId="2" applyFont="1" applyFill="1" applyBorder="1"/>
    <xf numFmtId="44" fontId="10" fillId="3" borderId="17" xfId="2" applyFont="1" applyFill="1" applyBorder="1"/>
    <xf numFmtId="44" fontId="10" fillId="5" borderId="17" xfId="2" applyFont="1" applyFill="1" applyBorder="1"/>
    <xf numFmtId="168" fontId="10" fillId="3" borderId="6" xfId="3" applyNumberFormat="1" applyFont="1" applyFill="1" applyBorder="1" applyAlignment="1">
      <alignment horizontal="center"/>
    </xf>
    <xf numFmtId="44" fontId="13" fillId="0" borderId="0" xfId="2" applyFont="1" applyFill="1" applyBorder="1"/>
    <xf numFmtId="49" fontId="13" fillId="0" borderId="0" xfId="2" applyNumberFormat="1" applyFont="1" applyFill="1" applyBorder="1"/>
    <xf numFmtId="44" fontId="21" fillId="0" borderId="0" xfId="2" applyFont="1" applyFill="1" applyBorder="1" applyAlignment="1">
      <alignment horizontal="left"/>
    </xf>
    <xf numFmtId="2" fontId="21" fillId="0" borderId="0" xfId="2" applyNumberFormat="1" applyFont="1" applyFill="1" applyBorder="1" applyAlignment="1">
      <alignment horizontal="left"/>
    </xf>
    <xf numFmtId="43" fontId="13" fillId="0" borderId="0" xfId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44" fontId="10" fillId="0" borderId="0" xfId="2" applyFont="1"/>
    <xf numFmtId="44" fontId="11" fillId="0" borderId="0" xfId="2" applyFont="1"/>
    <xf numFmtId="43" fontId="22" fillId="0" borderId="0" xfId="1" applyFont="1" applyFill="1" applyBorder="1"/>
    <xf numFmtId="0" fontId="23" fillId="0" borderId="0" xfId="0" applyFont="1" applyAlignment="1">
      <alignment horizontal="right"/>
    </xf>
    <xf numFmtId="49" fontId="24" fillId="0" borderId="0" xfId="0" applyNumberFormat="1" applyFont="1"/>
    <xf numFmtId="0" fontId="24" fillId="0" borderId="0" xfId="0" applyFont="1" applyAlignment="1">
      <alignment horizontal="left"/>
    </xf>
    <xf numFmtId="2" fontId="24" fillId="0" borderId="0" xfId="0" applyNumberFormat="1" applyFont="1" applyAlignment="1">
      <alignment horizontal="left"/>
    </xf>
    <xf numFmtId="0" fontId="24" fillId="0" borderId="0" xfId="0" applyFont="1"/>
    <xf numFmtId="167" fontId="3" fillId="0" borderId="0" xfId="3" applyNumberFormat="1" applyFont="1" applyFill="1" applyBorder="1"/>
    <xf numFmtId="0" fontId="11" fillId="0" borderId="0" xfId="0" applyFont="1" applyAlignment="1">
      <alignment horizontal="right"/>
    </xf>
    <xf numFmtId="43" fontId="25" fillId="0" borderId="0" xfId="1" applyFont="1"/>
    <xf numFmtId="43" fontId="11" fillId="5" borderId="0" xfId="1" applyFont="1" applyFill="1"/>
    <xf numFmtId="43" fontId="26" fillId="5" borderId="0" xfId="1" applyFont="1" applyFill="1"/>
    <xf numFmtId="43" fontId="11" fillId="0" borderId="0" xfId="1" applyFont="1"/>
    <xf numFmtId="0" fontId="27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left"/>
    </xf>
    <xf numFmtId="2" fontId="12" fillId="0" borderId="0" xfId="0" applyNumberFormat="1" applyFont="1" applyAlignment="1">
      <alignment horizontal="left"/>
    </xf>
    <xf numFmtId="43" fontId="26" fillId="0" borderId="0" xfId="1" applyFont="1"/>
    <xf numFmtId="43" fontId="28" fillId="0" borderId="0" xfId="1" applyFont="1"/>
    <xf numFmtId="0" fontId="11" fillId="0" borderId="0" xfId="0" applyFont="1" applyAlignment="1">
      <alignment horizontal="center"/>
    </xf>
    <xf numFmtId="44" fontId="10" fillId="0" borderId="0" xfId="2" applyFont="1" applyFill="1" applyBorder="1"/>
    <xf numFmtId="44" fontId="29" fillId="0" borderId="0" xfId="2" applyFont="1"/>
    <xf numFmtId="43" fontId="29" fillId="0" borderId="0" xfId="1" applyFont="1"/>
    <xf numFmtId="44" fontId="26" fillId="0" borderId="0" xfId="2" applyFont="1"/>
  </cellXfs>
  <cellStyles count="6">
    <cellStyle name="Comma" xfId="1" builtinId="3"/>
    <cellStyle name="Currency" xfId="2" builtinId="4"/>
    <cellStyle name="Currency 2 2 2 3" xfId="5" xr:uid="{8172DB11-3880-B549-8191-8296D13B2E22}"/>
    <cellStyle name="Normal" xfId="0" builtinId="0"/>
    <cellStyle name="Normal 3" xfId="4" xr:uid="{2A25E548-7EFF-2545-9BC3-9D51D3C8453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D7526-BE73-C942-8904-65EBB649E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7800" y="4057650"/>
          <a:ext cx="8210550" cy="3336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izmora/Downloads/SAMPLE%20INVOICE%2005-2026-BART6M8178-WSP-A.04.01-Invoice_AZAD-12%20(Jordy%20Peralta)%20Revised-%20.xlsm" TargetMode="External"/><Relationship Id="rId1" Type="http://schemas.openxmlformats.org/officeDocument/2006/relationships/externalLinkPath" Target="SAMPLE%20INVOICE%2005-2026-BART6M8178-WSP-A.04.01-Invoice_AZAD-12%20(Jordy%20Peralta)%20Revised-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"/>
      <sheetName val="Invoice"/>
      <sheetName val="Sub Calc _revised"/>
      <sheetName val="Progress Report"/>
      <sheetName val="Sub Calc"/>
      <sheetName val="Sub Labor"/>
      <sheetName val="Prime ODCs"/>
      <sheetName val="ODC"/>
      <sheetName val="MISC"/>
      <sheetName val="JP Week 1"/>
      <sheetName val="JP Week 2"/>
      <sheetName val="JP Week 3"/>
      <sheetName val="JP Week 4"/>
      <sheetName val="JP Week6"/>
      <sheetName val="JP Week 5"/>
    </sheetNames>
    <sheetDataSet>
      <sheetData sheetId="0">
        <row r="12">
          <cell r="E12">
            <v>1475</v>
          </cell>
        </row>
      </sheetData>
      <sheetData sheetId="1">
        <row r="4">
          <cell r="B4" t="str">
            <v>Azad Engineering PC</v>
          </cell>
        </row>
        <row r="6">
          <cell r="L6">
            <v>46198</v>
          </cell>
        </row>
        <row r="10">
          <cell r="L10" t="str">
            <v xml:space="preserve"> A.04-02-12</v>
          </cell>
        </row>
      </sheetData>
      <sheetData sheetId="2"/>
      <sheetData sheetId="3"/>
      <sheetData sheetId="4">
        <row r="51">
          <cell r="H51">
            <v>26146.967339520001</v>
          </cell>
        </row>
      </sheetData>
      <sheetData sheetId="5">
        <row r="18">
          <cell r="D18">
            <v>0</v>
          </cell>
          <cell r="F18">
            <v>0</v>
          </cell>
        </row>
        <row r="21">
          <cell r="I21">
            <v>13234.474944</v>
          </cell>
        </row>
        <row r="23">
          <cell r="I23">
            <v>1936.8123955200001</v>
          </cell>
        </row>
        <row r="26">
          <cell r="D26">
            <v>144</v>
          </cell>
          <cell r="F26">
            <v>10975.68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3034-3482-C94D-82C2-4A616979CB8C}">
  <sheetPr codeName="Sheet512">
    <pageSetUpPr fitToPage="1"/>
  </sheetPr>
  <dimension ref="A1:AC61"/>
  <sheetViews>
    <sheetView tabSelected="1" view="pageBreakPreview" zoomScale="90" zoomScaleNormal="90" zoomScaleSheetLayoutView="90" workbookViewId="0">
      <selection activeCell="K10" sqref="K10"/>
    </sheetView>
  </sheetViews>
  <sheetFormatPr baseColWidth="10" defaultColWidth="8.7109375" defaultRowHeight="19.5" customHeight="1"/>
  <cols>
    <col min="1" max="1" width="5.42578125" style="26" customWidth="1"/>
    <col min="2" max="2" width="5.7109375" style="26" customWidth="1"/>
    <col min="3" max="3" width="9.7109375" style="26" customWidth="1"/>
    <col min="4" max="4" width="19.28515625" style="26" customWidth="1"/>
    <col min="5" max="5" width="10.28515625" style="26" customWidth="1"/>
    <col min="6" max="6" width="9.5703125" style="26" bestFit="1" customWidth="1"/>
    <col min="7" max="7" width="12.7109375" style="167" customWidth="1"/>
    <col min="8" max="8" width="11.5703125" style="167" customWidth="1"/>
    <col min="9" max="9" width="12" style="167" customWidth="1"/>
    <col min="10" max="10" width="12.42578125" style="167" customWidth="1"/>
    <col min="11" max="11" width="9.140625" style="26" customWidth="1"/>
    <col min="12" max="12" width="2" style="26" customWidth="1"/>
    <col min="13" max="13" width="18.7109375" style="26" customWidth="1"/>
    <col min="14" max="14" width="10.140625" style="35" bestFit="1" customWidth="1"/>
    <col min="15" max="15" width="4.85546875" style="181" customWidth="1"/>
    <col min="16" max="16" width="17.7109375" style="182" customWidth="1"/>
    <col min="17" max="17" width="19.5703125" style="183" customWidth="1"/>
    <col min="18" max="18" width="29.28515625" style="182" customWidth="1"/>
    <col min="19" max="22" width="9.28515625" style="35" bestFit="1" customWidth="1"/>
    <col min="23" max="23" width="7.42578125" style="35" bestFit="1" customWidth="1"/>
    <col min="24" max="24" width="6.7109375" style="35" bestFit="1" customWidth="1"/>
    <col min="25" max="25" width="18.85546875" style="35" customWidth="1"/>
    <col min="26" max="28" width="8.7109375" style="26"/>
    <col min="29" max="29" width="20.28515625" style="26" customWidth="1"/>
    <col min="30" max="16384" width="8.7109375" style="26"/>
  </cols>
  <sheetData>
    <row r="1" spans="1:29" s="8" customFormat="1" ht="19.5" customHeight="1">
      <c r="A1" s="1" t="str">
        <f>[1]Invoice!B4</f>
        <v>Azad Engineering PC</v>
      </c>
      <c r="B1" s="2"/>
      <c r="C1" s="2"/>
      <c r="D1" s="2"/>
      <c r="E1" s="3"/>
      <c r="F1" s="3"/>
      <c r="G1" s="4"/>
      <c r="H1" s="4"/>
      <c r="I1" s="5" t="s">
        <v>0</v>
      </c>
      <c r="J1" s="6">
        <f ca="1">[1]Invoice!L6</f>
        <v>46198</v>
      </c>
      <c r="K1" s="7"/>
      <c r="N1" s="9"/>
      <c r="O1" s="10"/>
      <c r="P1" s="11"/>
      <c r="Q1" s="12"/>
      <c r="R1" s="11"/>
      <c r="S1" s="9"/>
      <c r="T1" s="9"/>
      <c r="U1" s="9"/>
      <c r="V1" s="9"/>
      <c r="W1" s="9"/>
      <c r="X1" s="9"/>
      <c r="Y1" s="9"/>
    </row>
    <row r="2" spans="1:29" s="8" customFormat="1" ht="19.5" customHeight="1">
      <c r="A2" s="13" t="s">
        <v>1</v>
      </c>
      <c r="B2" s="14"/>
      <c r="C2" s="14"/>
      <c r="D2" s="14"/>
      <c r="E2" s="14"/>
      <c r="F2" s="14"/>
      <c r="G2" s="15"/>
      <c r="H2" s="15"/>
      <c r="I2" s="16" t="s">
        <v>2</v>
      </c>
      <c r="J2" s="17" t="str">
        <f>[1]Invoice!L10</f>
        <v xml:space="preserve"> A.04-02-12</v>
      </c>
      <c r="K2" s="18"/>
      <c r="L2" s="19"/>
      <c r="N2" s="20"/>
      <c r="O2" s="21"/>
      <c r="P2" s="22"/>
      <c r="Q2" s="23"/>
      <c r="R2" s="22"/>
      <c r="S2" s="24"/>
      <c r="T2" s="24"/>
      <c r="U2" s="24"/>
      <c r="V2" s="24"/>
      <c r="W2" s="24"/>
      <c r="X2" s="24"/>
      <c r="Y2" s="9"/>
    </row>
    <row r="3" spans="1:29" ht="19.5" customHeight="1">
      <c r="A3" s="25"/>
      <c r="G3" s="27"/>
      <c r="H3" s="27"/>
      <c r="I3" s="28" t="s">
        <v>3</v>
      </c>
      <c r="J3" s="29">
        <f>+[1]Invoice!R2</f>
        <v>0</v>
      </c>
      <c r="N3" s="30"/>
      <c r="O3" s="31"/>
      <c r="P3" s="32"/>
      <c r="Q3" s="33"/>
      <c r="R3" s="32"/>
      <c r="S3" s="34"/>
      <c r="T3" s="34"/>
      <c r="U3" s="34"/>
      <c r="V3" s="34"/>
      <c r="W3" s="34"/>
      <c r="X3" s="34"/>
    </row>
    <row r="4" spans="1:29" ht="30">
      <c r="A4" s="36"/>
      <c r="B4" s="37"/>
      <c r="C4" s="37"/>
      <c r="G4" s="38" t="s">
        <v>4</v>
      </c>
      <c r="H4" s="39" t="s">
        <v>5</v>
      </c>
      <c r="I4" s="40" t="s">
        <v>6</v>
      </c>
      <c r="J4" s="39" t="s">
        <v>7</v>
      </c>
      <c r="K4" s="41" t="s">
        <v>8</v>
      </c>
      <c r="N4" s="42"/>
      <c r="O4" s="43"/>
      <c r="P4" s="44"/>
      <c r="Q4" s="45"/>
      <c r="R4" s="44"/>
      <c r="S4" s="46"/>
      <c r="T4" s="46"/>
      <c r="U4" s="46"/>
      <c r="V4" s="46"/>
      <c r="W4" s="46"/>
      <c r="X4" s="46"/>
    </row>
    <row r="5" spans="1:29" ht="19.5" customHeight="1">
      <c r="D5" s="47" t="s">
        <v>9</v>
      </c>
      <c r="E5" s="48"/>
      <c r="F5" s="48"/>
      <c r="G5" s="49"/>
      <c r="H5" s="50"/>
      <c r="I5" s="51"/>
      <c r="J5" s="50"/>
      <c r="K5" s="52"/>
      <c r="N5" s="53"/>
      <c r="O5" s="54"/>
      <c r="P5" s="55"/>
      <c r="Q5" s="56"/>
      <c r="R5" s="55"/>
      <c r="S5" s="53"/>
      <c r="T5" s="53"/>
      <c r="U5" s="53"/>
      <c r="V5" s="53"/>
      <c r="W5" s="53"/>
      <c r="X5" s="53"/>
    </row>
    <row r="6" spans="1:29" ht="19.5" customHeight="1">
      <c r="A6" s="57" t="s">
        <v>10</v>
      </c>
      <c r="D6" s="58" t="s">
        <v>11</v>
      </c>
      <c r="E6" s="58" t="s">
        <v>12</v>
      </c>
      <c r="F6" s="59" t="s">
        <v>13</v>
      </c>
      <c r="G6" s="60"/>
      <c r="H6" s="61"/>
      <c r="I6" s="62"/>
      <c r="J6" s="61"/>
      <c r="K6" s="63"/>
      <c r="N6" s="53"/>
      <c r="O6" s="54"/>
      <c r="P6" s="55"/>
      <c r="Q6" s="56"/>
      <c r="R6" s="55"/>
      <c r="S6" s="53"/>
      <c r="T6" s="53"/>
      <c r="U6" s="53"/>
      <c r="V6" s="53"/>
      <c r="W6" s="53"/>
      <c r="X6" s="53"/>
    </row>
    <row r="7" spans="1:29" ht="19.5" customHeight="1">
      <c r="A7" s="64" t="s">
        <v>14</v>
      </c>
      <c r="B7" s="65"/>
      <c r="C7" s="65"/>
      <c r="D7" s="66">
        <f>'[1]Sub Labor'!D18</f>
        <v>0</v>
      </c>
      <c r="E7" s="66">
        <f>+F7-D7</f>
        <v>0</v>
      </c>
      <c r="F7" s="67">
        <f>+'[1]Sub Labor'!K18</f>
        <v>0</v>
      </c>
      <c r="G7" s="60"/>
      <c r="H7" s="61">
        <f>'[1]Sub Labor'!F18</f>
        <v>0</v>
      </c>
      <c r="I7" s="61">
        <f>+J7-H7</f>
        <v>0</v>
      </c>
      <c r="J7" s="61">
        <f>+N7</f>
        <v>0</v>
      </c>
      <c r="K7" s="63"/>
      <c r="N7" s="68"/>
      <c r="O7" s="69"/>
      <c r="P7" s="70" t="s">
        <v>15</v>
      </c>
      <c r="Q7" s="70"/>
      <c r="R7" s="71"/>
      <c r="S7" s="72"/>
      <c r="T7" s="72"/>
      <c r="U7" s="72"/>
      <c r="V7" s="72"/>
      <c r="W7" s="72"/>
      <c r="X7" s="72"/>
    </row>
    <row r="8" spans="1:29" ht="19.5" customHeight="1">
      <c r="A8" s="65" t="s">
        <v>16</v>
      </c>
      <c r="B8" s="65"/>
      <c r="C8" s="65"/>
      <c r="D8" s="73"/>
      <c r="E8" s="74"/>
      <c r="F8" s="74"/>
      <c r="G8" s="75">
        <f>G7*D8</f>
        <v>0</v>
      </c>
      <c r="H8" s="61">
        <f>ROUND(+$D8*H$7,2)</f>
        <v>0</v>
      </c>
      <c r="I8" s="61">
        <f t="shared" ref="I8:I13" si="0">+J8-H8</f>
        <v>0</v>
      </c>
      <c r="J8" s="61">
        <f>+N8</f>
        <v>0</v>
      </c>
      <c r="K8" s="63"/>
      <c r="N8" s="68"/>
      <c r="O8" s="69">
        <v>8</v>
      </c>
      <c r="P8" s="76" t="s">
        <v>17</v>
      </c>
      <c r="Q8" s="77">
        <v>133202.19</v>
      </c>
      <c r="R8" s="78"/>
      <c r="S8" s="68"/>
      <c r="T8" s="68"/>
      <c r="U8" s="68"/>
      <c r="V8" s="68"/>
      <c r="W8" s="68"/>
      <c r="X8" s="68"/>
      <c r="Y8" s="26"/>
      <c r="AC8" s="79"/>
    </row>
    <row r="9" spans="1:29" ht="19.5" customHeight="1">
      <c r="A9" s="65" t="s">
        <v>18</v>
      </c>
      <c r="B9" s="65"/>
      <c r="C9" s="65"/>
      <c r="D9" s="80"/>
      <c r="E9" s="74"/>
      <c r="F9" s="74"/>
      <c r="G9" s="75">
        <f>G7*D9</f>
        <v>0</v>
      </c>
      <c r="H9" s="61">
        <f>ROUND(+$D9*H$7,2)</f>
        <v>0</v>
      </c>
      <c r="I9" s="61">
        <f t="shared" si="0"/>
        <v>0</v>
      </c>
      <c r="J9" s="61">
        <f>+N9</f>
        <v>0</v>
      </c>
      <c r="K9" s="63"/>
      <c r="N9" s="68"/>
      <c r="O9" s="69">
        <v>9</v>
      </c>
      <c r="P9" s="76" t="s">
        <v>19</v>
      </c>
      <c r="Q9" s="81">
        <v>4625</v>
      </c>
      <c r="R9" s="82"/>
      <c r="S9" s="68"/>
      <c r="T9" s="68"/>
      <c r="U9" s="68"/>
      <c r="V9" s="68"/>
      <c r="W9" s="68"/>
      <c r="X9" s="68"/>
      <c r="Y9" s="37"/>
      <c r="AC9" s="83"/>
    </row>
    <row r="10" spans="1:29" ht="19.5" customHeight="1">
      <c r="A10" s="65"/>
      <c r="B10" s="65"/>
      <c r="C10" s="65"/>
      <c r="D10" s="84">
        <f>SUM(D8:D9)</f>
        <v>0</v>
      </c>
      <c r="E10" s="85"/>
      <c r="F10" s="85"/>
      <c r="G10" s="86">
        <f>SUBTOTAL(9,G7:G9)</f>
        <v>0</v>
      </c>
      <c r="H10" s="87">
        <f>SUBTOTAL(9,H7:H9)</f>
        <v>0</v>
      </c>
      <c r="I10" s="87">
        <f>SUBTOTAL(9,I7:I9)</f>
        <v>0</v>
      </c>
      <c r="J10" s="87">
        <f>SUBTOTAL(9,J7:J9)</f>
        <v>0</v>
      </c>
      <c r="K10" s="63"/>
      <c r="N10" s="88"/>
      <c r="O10" s="69">
        <v>10</v>
      </c>
      <c r="P10" s="76" t="s">
        <v>20</v>
      </c>
      <c r="Q10" s="81">
        <v>1.0900000000000001</v>
      </c>
      <c r="R10" s="82"/>
      <c r="S10" s="68"/>
      <c r="T10" s="68"/>
      <c r="U10" s="68"/>
      <c r="V10" s="68"/>
      <c r="W10" s="68"/>
      <c r="X10" s="68"/>
      <c r="Y10" s="26"/>
      <c r="Z10" s="89"/>
      <c r="AA10" s="89"/>
      <c r="AB10" s="89"/>
      <c r="AC10" s="79"/>
    </row>
    <row r="11" spans="1:29" ht="21" customHeight="1">
      <c r="A11" s="25" t="s">
        <v>21</v>
      </c>
      <c r="B11" s="90"/>
      <c r="C11" s="90"/>
      <c r="D11" s="91">
        <f>+'[1]Sub Labor'!D26</f>
        <v>144</v>
      </c>
      <c r="E11" s="92">
        <f>'[1]Master File '!E12</f>
        <v>1475</v>
      </c>
      <c r="F11" s="67">
        <f>D11+E11</f>
        <v>1619</v>
      </c>
      <c r="G11" s="60">
        <v>68450</v>
      </c>
      <c r="H11" s="93">
        <f>+'[1]Sub Labor'!F26</f>
        <v>10975.68</v>
      </c>
      <c r="I11" s="93">
        <v>66008</v>
      </c>
      <c r="J11" s="61">
        <f>H11+I11</f>
        <v>76983.679999999993</v>
      </c>
      <c r="K11" s="63"/>
      <c r="M11" s="94"/>
      <c r="N11"/>
      <c r="O11" s="69">
        <v>11</v>
      </c>
      <c r="P11" s="76" t="s">
        <v>22</v>
      </c>
      <c r="Q11" s="81">
        <v>0.08</v>
      </c>
      <c r="R11" s="82"/>
      <c r="S11" s="68"/>
      <c r="T11" s="68"/>
      <c r="U11" s="68"/>
      <c r="V11" s="68"/>
      <c r="W11" s="68"/>
      <c r="X11" s="68"/>
      <c r="Y11" s="26"/>
      <c r="Z11" s="95"/>
      <c r="AA11" s="95"/>
      <c r="AB11" s="95"/>
      <c r="AC11" s="79"/>
    </row>
    <row r="12" spans="1:29" ht="19.5" customHeight="1">
      <c r="A12" s="26" t="s">
        <v>23</v>
      </c>
      <c r="D12" s="73">
        <v>1.2058</v>
      </c>
      <c r="E12" s="74"/>
      <c r="F12" s="74"/>
      <c r="G12" s="96">
        <v>74610.509999999995</v>
      </c>
      <c r="H12" s="61">
        <f>'[1]Sub Labor'!I21</f>
        <v>13234.474944</v>
      </c>
      <c r="I12" s="93">
        <v>71948.72</v>
      </c>
      <c r="J12" s="61">
        <f>H12+I12</f>
        <v>85183.194944000003</v>
      </c>
      <c r="K12" s="63"/>
      <c r="N12" s="68"/>
      <c r="O12" s="69" t="s">
        <v>24</v>
      </c>
      <c r="P12" s="76" t="s">
        <v>21</v>
      </c>
      <c r="Q12" s="81">
        <f>(Q8 - Q9) / ((1 + Q10) * (1 + Q11))</f>
        <v>56963.135743398903</v>
      </c>
      <c r="R12" s="82"/>
      <c r="S12" s="68"/>
      <c r="T12" s="68"/>
      <c r="U12" s="68"/>
      <c r="V12" s="68"/>
      <c r="W12" s="68"/>
      <c r="X12" s="68"/>
      <c r="Y12" s="65"/>
      <c r="Z12" s="97"/>
      <c r="AA12" s="97"/>
      <c r="AB12" s="97"/>
      <c r="AC12" s="79"/>
    </row>
    <row r="13" spans="1:29" ht="19.5" customHeight="1">
      <c r="A13" s="65" t="s">
        <v>25</v>
      </c>
      <c r="B13" s="65"/>
      <c r="C13" s="65"/>
      <c r="D13" s="80"/>
      <c r="F13" s="98"/>
      <c r="G13" s="75"/>
      <c r="H13" s="61">
        <f>ROUND(+$D13*H$11,2)</f>
        <v>0</v>
      </c>
      <c r="I13" s="93">
        <f t="shared" si="0"/>
        <v>0</v>
      </c>
      <c r="J13" s="61">
        <f>+N13</f>
        <v>0</v>
      </c>
      <c r="K13" s="63"/>
      <c r="N13" s="68"/>
      <c r="O13" s="69" t="s">
        <v>26</v>
      </c>
      <c r="P13" s="76" t="s">
        <v>27</v>
      </c>
      <c r="Q13" s="81">
        <f>Q12*Q10</f>
        <v>62089.817960304812</v>
      </c>
      <c r="R13" s="82"/>
      <c r="S13" s="68"/>
      <c r="T13" s="68"/>
      <c r="U13" s="68"/>
      <c r="V13" s="68"/>
      <c r="W13" s="68"/>
      <c r="X13" s="68"/>
      <c r="Y13" s="65"/>
      <c r="Z13" s="99"/>
      <c r="AA13" s="100"/>
      <c r="AB13" s="100"/>
      <c r="AC13" s="79"/>
    </row>
    <row r="14" spans="1:29" ht="19.5" customHeight="1">
      <c r="A14" s="65"/>
      <c r="B14" s="65"/>
      <c r="C14" s="65"/>
      <c r="D14" s="84">
        <f>SUM(D12:D13)</f>
        <v>1.2058</v>
      </c>
      <c r="G14" s="86">
        <f>SUBTOTAL(9,G11:G13)</f>
        <v>143060.51</v>
      </c>
      <c r="H14" s="87">
        <f>SUBTOTAL(9,H11:H13)</f>
        <v>24210.154944000002</v>
      </c>
      <c r="I14" s="101">
        <f>SUBTOTAL(9,I11:I13)</f>
        <v>137956.72</v>
      </c>
      <c r="J14" s="87">
        <f>SUBTOTAL(9,J11:J13)</f>
        <v>162166.87494399998</v>
      </c>
      <c r="K14" s="63"/>
      <c r="N14" s="88"/>
      <c r="O14" s="69" t="s">
        <v>28</v>
      </c>
      <c r="P14" s="76" t="s">
        <v>29</v>
      </c>
      <c r="Q14" s="81">
        <f>Q12+Q13</f>
        <v>119052.95370370371</v>
      </c>
      <c r="R14" s="82"/>
      <c r="S14" s="68"/>
      <c r="T14" s="68"/>
      <c r="U14" s="68"/>
      <c r="V14" s="68"/>
      <c r="W14" s="68"/>
      <c r="X14" s="68"/>
      <c r="Y14" s="65"/>
      <c r="Z14" s="99"/>
      <c r="AA14" s="100"/>
      <c r="AB14" s="100"/>
      <c r="AC14" s="79"/>
    </row>
    <row r="15" spans="1:29" ht="14.25" customHeight="1">
      <c r="A15" s="65"/>
      <c r="B15" s="65"/>
      <c r="C15" s="65"/>
      <c r="D15" s="102"/>
      <c r="G15" s="60"/>
      <c r="H15" s="61"/>
      <c r="I15" s="93"/>
      <c r="J15" s="61"/>
      <c r="K15" s="63"/>
      <c r="N15" s="88"/>
      <c r="O15" s="69" t="s">
        <v>30</v>
      </c>
      <c r="P15" s="76" t="s">
        <v>31</v>
      </c>
      <c r="Q15" s="81">
        <f>Q14*Q11</f>
        <v>9524.2362962962961</v>
      </c>
      <c r="R15" s="103"/>
      <c r="S15" s="68"/>
      <c r="T15" s="68"/>
      <c r="U15" s="68"/>
      <c r="V15" s="68"/>
      <c r="W15" s="68"/>
      <c r="X15" s="68"/>
      <c r="Y15" s="65"/>
      <c r="Z15" s="84"/>
      <c r="AA15" s="85"/>
      <c r="AB15" s="85"/>
      <c r="AC15" s="79"/>
    </row>
    <row r="16" spans="1:29" ht="16" hidden="1">
      <c r="A16" s="104"/>
      <c r="B16" s="104"/>
      <c r="C16" s="104"/>
      <c r="D16" s="105"/>
      <c r="E16" s="105"/>
      <c r="F16" s="105"/>
      <c r="G16" s="60"/>
      <c r="H16" s="93"/>
      <c r="I16" s="93">
        <v>0</v>
      </c>
      <c r="J16" s="93">
        <f>+H16+I16</f>
        <v>0</v>
      </c>
      <c r="K16" s="106"/>
      <c r="N16" s="88"/>
      <c r="O16" s="69"/>
      <c r="P16" s="107"/>
      <c r="Q16" s="81"/>
      <c r="R16" s="82"/>
      <c r="S16" s="68"/>
      <c r="T16" s="68"/>
      <c r="U16" s="68"/>
      <c r="V16" s="68"/>
      <c r="W16" s="68"/>
      <c r="X16" s="68"/>
      <c r="Y16" s="90"/>
      <c r="Z16" s="97"/>
      <c r="AA16" s="97"/>
      <c r="AB16" s="97"/>
      <c r="AC16" s="79"/>
    </row>
    <row r="17" spans="1:29" ht="16" hidden="1">
      <c r="A17" s="108"/>
      <c r="B17" s="108"/>
      <c r="C17" s="108"/>
      <c r="D17" s="108"/>
      <c r="E17" s="108"/>
      <c r="F17" s="108"/>
      <c r="G17" s="60"/>
      <c r="H17" s="93"/>
      <c r="I17" s="93">
        <v>0</v>
      </c>
      <c r="J17" s="93">
        <f>+H17+I17</f>
        <v>0</v>
      </c>
      <c r="K17" s="106"/>
      <c r="N17" s="88"/>
      <c r="O17" s="69"/>
      <c r="P17" s="109"/>
      <c r="Q17" s="81"/>
      <c r="R17" s="103"/>
      <c r="S17" s="68"/>
      <c r="T17" s="68"/>
      <c r="U17" s="68"/>
      <c r="V17" s="68"/>
      <c r="W17" s="68"/>
      <c r="X17" s="68"/>
      <c r="Y17" s="26"/>
      <c r="Z17" s="99"/>
      <c r="AA17" s="100"/>
      <c r="AB17" s="100"/>
      <c r="AC17" s="79"/>
    </row>
    <row r="18" spans="1:29" ht="16" hidden="1">
      <c r="A18" s="110"/>
      <c r="B18" s="110"/>
      <c r="C18" s="110"/>
      <c r="D18" s="108"/>
      <c r="E18" s="108"/>
      <c r="F18" s="108"/>
      <c r="G18" s="60"/>
      <c r="H18" s="93"/>
      <c r="I18" s="93">
        <v>0</v>
      </c>
      <c r="J18" s="93">
        <f>+H18+I18</f>
        <v>0</v>
      </c>
      <c r="K18" s="106"/>
      <c r="N18" s="88"/>
      <c r="O18" s="69"/>
      <c r="P18" s="107"/>
      <c r="Q18" s="81"/>
      <c r="R18" s="78"/>
      <c r="S18" s="68"/>
      <c r="T18" s="68"/>
      <c r="U18" s="68"/>
      <c r="V18" s="68"/>
      <c r="W18" s="68"/>
      <c r="X18" s="68"/>
      <c r="Y18" s="65"/>
      <c r="Z18" s="99"/>
      <c r="AB18" s="98"/>
      <c r="AC18" s="79"/>
    </row>
    <row r="19" spans="1:29" ht="16" hidden="1">
      <c r="A19" s="108"/>
      <c r="B19" s="108"/>
      <c r="C19" s="108"/>
      <c r="D19" s="108"/>
      <c r="E19" s="108"/>
      <c r="F19" s="108"/>
      <c r="G19" s="86">
        <f>SUBTOTAL(9,G16:G18)</f>
        <v>0</v>
      </c>
      <c r="H19" s="101">
        <f>SUBTOTAL(9,H16:H18)</f>
        <v>0</v>
      </c>
      <c r="I19" s="101">
        <v>0</v>
      </c>
      <c r="J19" s="101">
        <f>SUBTOTAL(9,J16:J18)</f>
        <v>0</v>
      </c>
      <c r="K19" s="106"/>
      <c r="N19" s="88"/>
      <c r="O19" s="69"/>
      <c r="P19" s="107"/>
      <c r="Q19" s="81"/>
      <c r="R19" s="111"/>
      <c r="S19" s="53"/>
      <c r="T19" s="53"/>
      <c r="U19" s="53"/>
      <c r="V19" s="53"/>
      <c r="W19" s="53"/>
      <c r="X19" s="53"/>
      <c r="Y19" s="65"/>
      <c r="Z19" s="84"/>
      <c r="AC19" s="79"/>
    </row>
    <row r="20" spans="1:29" ht="16">
      <c r="A20" s="112"/>
      <c r="B20" s="113"/>
      <c r="C20" s="114"/>
      <c r="D20" s="115" t="s">
        <v>29</v>
      </c>
      <c r="E20" s="115"/>
      <c r="F20" s="115"/>
      <c r="G20" s="116">
        <f>SUBTOTAL(9,G7:G19)</f>
        <v>143060.51</v>
      </c>
      <c r="H20" s="117">
        <f>SUBTOTAL(9,H7:H19)</f>
        <v>24210.154944000002</v>
      </c>
      <c r="I20" s="93">
        <f>SUBTOTAL(9,I7:I19)</f>
        <v>137956.72</v>
      </c>
      <c r="J20" s="117">
        <f>SUBTOTAL(9,J7:J19)</f>
        <v>162166.87494399998</v>
      </c>
      <c r="K20" s="118">
        <f>J20/G20</f>
        <v>1.133554430527334</v>
      </c>
      <c r="N20" s="88"/>
      <c r="O20" s="69"/>
      <c r="P20" s="76" t="s">
        <v>32</v>
      </c>
      <c r="Q20" s="81">
        <f>Q14+Q15+Q9</f>
        <v>133202.19</v>
      </c>
      <c r="R20" s="111"/>
      <c r="S20" s="68"/>
      <c r="T20" s="68"/>
      <c r="U20" s="68"/>
      <c r="V20" s="68"/>
      <c r="W20" s="68"/>
      <c r="X20" s="68"/>
      <c r="Y20" s="65"/>
      <c r="Z20" s="102"/>
      <c r="AC20" s="79"/>
    </row>
    <row r="21" spans="1:29" ht="19.5" customHeight="1">
      <c r="G21" s="60"/>
      <c r="H21" s="61"/>
      <c r="I21" s="93"/>
      <c r="J21" s="61"/>
      <c r="K21" s="63"/>
      <c r="N21" s="88"/>
      <c r="O21" s="69"/>
      <c r="P21" s="78"/>
      <c r="Q21" s="119"/>
      <c r="R21" s="111"/>
      <c r="S21" s="68"/>
      <c r="T21" s="68"/>
      <c r="U21" s="68"/>
      <c r="V21" s="68"/>
      <c r="W21" s="68"/>
      <c r="X21" s="68"/>
      <c r="Y21" s="90"/>
      <c r="Z21" s="95"/>
      <c r="AA21" s="95"/>
      <c r="AB21" s="95"/>
      <c r="AC21" s="79"/>
    </row>
    <row r="22" spans="1:29" ht="19.25" customHeight="1">
      <c r="A22" s="120" t="s">
        <v>33</v>
      </c>
      <c r="B22" s="65"/>
      <c r="C22" s="65"/>
      <c r="G22" s="60"/>
      <c r="H22" s="61"/>
      <c r="I22" s="93"/>
      <c r="J22" s="61"/>
      <c r="K22" s="63"/>
      <c r="N22" s="88"/>
      <c r="O22" s="69"/>
      <c r="P22" s="78"/>
      <c r="Q22" s="119"/>
      <c r="R22" s="111"/>
      <c r="S22" s="68"/>
      <c r="T22" s="68"/>
      <c r="U22" s="68"/>
      <c r="V22" s="68"/>
      <c r="W22" s="68"/>
      <c r="X22" s="68"/>
      <c r="Y22" s="26"/>
      <c r="AC22" s="79"/>
    </row>
    <row r="23" spans="1:29" ht="19.25" customHeight="1">
      <c r="A23" s="120"/>
      <c r="B23" s="121"/>
      <c r="C23" s="121"/>
      <c r="D23" s="122"/>
      <c r="G23" s="60">
        <v>1680</v>
      </c>
      <c r="H23" s="61">
        <v>0</v>
      </c>
      <c r="I23" s="93">
        <f t="shared" ref="I23:I30" si="1">+J23-H23</f>
        <v>0</v>
      </c>
      <c r="J23" s="61">
        <v>0</v>
      </c>
      <c r="K23" s="63"/>
      <c r="N23" s="68"/>
      <c r="O23" s="69"/>
      <c r="P23" s="123"/>
      <c r="Q23" s="124"/>
      <c r="R23" s="123"/>
      <c r="S23" s="68"/>
      <c r="T23" s="68"/>
      <c r="U23" s="68"/>
      <c r="V23" s="68"/>
      <c r="W23" s="68"/>
      <c r="X23" s="68"/>
      <c r="Y23" s="65"/>
      <c r="AC23" s="79"/>
    </row>
    <row r="24" spans="1:29" ht="19.25" customHeight="1">
      <c r="A24" s="120"/>
      <c r="B24" s="121"/>
      <c r="C24" s="121"/>
      <c r="D24" s="122" t="s">
        <v>34</v>
      </c>
      <c r="E24" s="26" t="s">
        <v>35</v>
      </c>
      <c r="F24" s="26" t="s">
        <v>36</v>
      </c>
      <c r="G24" s="60"/>
      <c r="H24" s="61"/>
      <c r="I24" s="125">
        <v>1924</v>
      </c>
      <c r="J24" s="126">
        <f>H24+I24</f>
        <v>1924</v>
      </c>
      <c r="K24" s="63"/>
      <c r="N24" s="68"/>
      <c r="O24" s="69"/>
      <c r="P24" s="123"/>
      <c r="Q24" s="124"/>
      <c r="R24" s="123"/>
      <c r="S24" s="68"/>
      <c r="T24" s="68"/>
      <c r="U24" s="68"/>
      <c r="V24" s="68"/>
      <c r="W24" s="68"/>
      <c r="X24" s="68"/>
      <c r="Y24" s="26"/>
      <c r="AC24" s="79"/>
    </row>
    <row r="25" spans="1:29" ht="19.25" customHeight="1">
      <c r="A25" s="120"/>
      <c r="B25" s="121"/>
      <c r="C25" s="121"/>
      <c r="D25" s="122" t="s">
        <v>37</v>
      </c>
      <c r="E25" s="26" t="s">
        <v>38</v>
      </c>
      <c r="F25" s="26" t="s">
        <v>36</v>
      </c>
      <c r="G25" s="60"/>
      <c r="H25" s="61"/>
      <c r="I25" s="125">
        <v>1776</v>
      </c>
      <c r="J25" s="126">
        <f>H25+I25</f>
        <v>1776</v>
      </c>
      <c r="K25" s="63"/>
      <c r="N25" s="68"/>
      <c r="O25" s="69"/>
      <c r="P25" s="123"/>
      <c r="Q25" s="124"/>
      <c r="R25" s="123"/>
      <c r="S25" s="68"/>
      <c r="T25" s="68"/>
      <c r="U25" s="68"/>
      <c r="V25" s="68"/>
      <c r="W25" s="68"/>
      <c r="X25" s="68"/>
      <c r="Y25" s="26"/>
      <c r="Z25" s="127"/>
      <c r="AA25" s="127"/>
      <c r="AB25" s="127"/>
      <c r="AC25" s="79"/>
    </row>
    <row r="26" spans="1:29" ht="19.25" customHeight="1">
      <c r="A26" s="120"/>
      <c r="B26" s="121"/>
      <c r="C26" s="121"/>
      <c r="G26" s="60"/>
      <c r="H26" s="61">
        <v>0</v>
      </c>
      <c r="I26" s="125">
        <f t="shared" si="1"/>
        <v>0</v>
      </c>
      <c r="J26" s="126">
        <v>0</v>
      </c>
      <c r="K26" s="63"/>
      <c r="N26" s="68"/>
      <c r="O26" s="69"/>
      <c r="P26" s="123"/>
      <c r="Q26" s="124"/>
      <c r="R26" s="123"/>
      <c r="S26" s="68"/>
      <c r="T26" s="68"/>
      <c r="U26" s="68"/>
      <c r="V26" s="68"/>
      <c r="W26" s="68"/>
      <c r="X26" s="68"/>
      <c r="Y26" s="26"/>
      <c r="AC26" s="79"/>
    </row>
    <row r="27" spans="1:29" ht="20" hidden="1" customHeight="1">
      <c r="B27" s="128" t="s">
        <v>39</v>
      </c>
      <c r="C27" s="128"/>
      <c r="D27" s="108">
        <v>0</v>
      </c>
      <c r="E27" s="108" t="s">
        <v>40</v>
      </c>
      <c r="F27" s="129">
        <v>0</v>
      </c>
      <c r="G27" s="60">
        <f>F27*D27</f>
        <v>0</v>
      </c>
      <c r="H27" s="61">
        <v>0</v>
      </c>
      <c r="I27" s="125">
        <f t="shared" si="1"/>
        <v>0</v>
      </c>
      <c r="J27" s="126">
        <v>0</v>
      </c>
      <c r="K27" s="63"/>
      <c r="N27" s="68"/>
      <c r="O27" s="69"/>
      <c r="P27" s="123"/>
      <c r="Q27" s="124"/>
      <c r="R27" s="123"/>
      <c r="S27" s="68"/>
      <c r="T27" s="68"/>
      <c r="U27" s="68"/>
      <c r="V27" s="68"/>
      <c r="W27" s="68"/>
      <c r="X27" s="68"/>
      <c r="Y27" s="65"/>
      <c r="AC27" s="79"/>
    </row>
    <row r="28" spans="1:29" ht="19.25" hidden="1" customHeight="1">
      <c r="B28" s="128" t="s">
        <v>41</v>
      </c>
      <c r="C28" s="128"/>
      <c r="D28" s="108">
        <v>0</v>
      </c>
      <c r="E28" s="108" t="s">
        <v>42</v>
      </c>
      <c r="F28" s="108">
        <v>0</v>
      </c>
      <c r="G28" s="60">
        <f>F28*D28</f>
        <v>0</v>
      </c>
      <c r="H28" s="61">
        <v>0</v>
      </c>
      <c r="I28" s="125">
        <f t="shared" si="1"/>
        <v>0</v>
      </c>
      <c r="J28" s="126">
        <v>0</v>
      </c>
      <c r="K28" s="63"/>
      <c r="N28" s="68"/>
      <c r="O28" s="69"/>
      <c r="P28" s="71"/>
      <c r="Q28" s="124"/>
      <c r="R28" s="71"/>
      <c r="S28" s="72"/>
      <c r="T28" s="72"/>
      <c r="U28" s="72"/>
      <c r="V28" s="72"/>
      <c r="W28" s="72"/>
      <c r="X28" s="72"/>
      <c r="Y28" s="121"/>
      <c r="Z28" s="122"/>
      <c r="AC28" s="79"/>
    </row>
    <row r="29" spans="1:29" ht="19.25" hidden="1" customHeight="1">
      <c r="B29" s="128" t="s">
        <v>43</v>
      </c>
      <c r="C29" s="128"/>
      <c r="D29" s="108">
        <v>0</v>
      </c>
      <c r="E29" s="108" t="s">
        <v>44</v>
      </c>
      <c r="F29" s="108">
        <v>0</v>
      </c>
      <c r="G29" s="60">
        <f>F29*D29</f>
        <v>0</v>
      </c>
      <c r="H29" s="61">
        <v>0</v>
      </c>
      <c r="I29" s="125">
        <f t="shared" si="1"/>
        <v>0</v>
      </c>
      <c r="J29" s="126">
        <v>0</v>
      </c>
      <c r="K29" s="63"/>
      <c r="N29" s="68"/>
      <c r="O29" s="69"/>
      <c r="P29" s="71"/>
      <c r="Q29" s="124"/>
      <c r="R29" s="71"/>
      <c r="S29" s="72"/>
      <c r="T29" s="72"/>
      <c r="U29" s="72"/>
      <c r="V29" s="72"/>
      <c r="W29" s="72"/>
      <c r="X29" s="72"/>
      <c r="Y29" s="121"/>
      <c r="Z29" s="122"/>
      <c r="AC29" s="79"/>
    </row>
    <row r="30" spans="1:29" ht="19.5" hidden="1" customHeight="1">
      <c r="B30" s="128" t="s">
        <v>45</v>
      </c>
      <c r="C30" s="128"/>
      <c r="D30" s="108">
        <v>0</v>
      </c>
      <c r="E30" s="108" t="s">
        <v>44</v>
      </c>
      <c r="F30" s="108">
        <v>0</v>
      </c>
      <c r="G30" s="60">
        <f>F30*D30</f>
        <v>0</v>
      </c>
      <c r="H30" s="61">
        <v>0</v>
      </c>
      <c r="I30" s="125">
        <f t="shared" si="1"/>
        <v>0</v>
      </c>
      <c r="J30" s="126">
        <v>0</v>
      </c>
      <c r="K30" s="63"/>
      <c r="N30" s="68"/>
      <c r="O30" s="69"/>
      <c r="P30" s="123"/>
      <c r="Q30" s="124"/>
      <c r="R30" s="123"/>
      <c r="S30" s="68"/>
      <c r="T30" s="68"/>
      <c r="U30" s="68"/>
      <c r="V30" s="68"/>
      <c r="W30" s="68"/>
      <c r="X30" s="68"/>
      <c r="Y30" s="121"/>
      <c r="Z30" s="122"/>
      <c r="AC30" s="79"/>
    </row>
    <row r="31" spans="1:29" ht="19.5" customHeight="1">
      <c r="A31" s="130"/>
      <c r="B31" s="131"/>
      <c r="C31" s="131"/>
      <c r="D31" s="115" t="s">
        <v>46</v>
      </c>
      <c r="E31" s="115"/>
      <c r="F31" s="115"/>
      <c r="G31" s="116">
        <f>SUBTOTAL(9,G22:G30)</f>
        <v>1680</v>
      </c>
      <c r="H31" s="117">
        <f>SUBTOTAL(9,H22:H30)</f>
        <v>0</v>
      </c>
      <c r="I31" s="125">
        <f>SUBTOTAL(9,I22:I30)</f>
        <v>3700</v>
      </c>
      <c r="J31" s="132">
        <f>SUBTOTAL(9,J22:J30)</f>
        <v>3700</v>
      </c>
      <c r="K31" s="133">
        <f>H31/G31</f>
        <v>0</v>
      </c>
      <c r="N31" s="68"/>
      <c r="O31" s="69"/>
      <c r="P31" s="123"/>
      <c r="Q31" s="124"/>
      <c r="R31" s="123"/>
      <c r="S31" s="68"/>
      <c r="T31" s="68"/>
      <c r="U31" s="68"/>
      <c r="V31" s="68"/>
      <c r="W31" s="68"/>
      <c r="X31" s="68"/>
      <c r="Y31" s="121"/>
      <c r="AC31" s="79"/>
    </row>
    <row r="32" spans="1:29" ht="19.5" customHeight="1">
      <c r="A32" s="57" t="s">
        <v>47</v>
      </c>
      <c r="G32" s="60"/>
      <c r="H32" s="61"/>
      <c r="I32" s="125"/>
      <c r="J32" s="126"/>
      <c r="K32" s="63"/>
      <c r="N32" s="88"/>
      <c r="O32" s="69"/>
      <c r="P32" s="123"/>
      <c r="Q32" s="124"/>
      <c r="R32" s="123"/>
      <c r="S32" s="68"/>
      <c r="T32" s="68"/>
      <c r="U32" s="68"/>
      <c r="V32" s="68"/>
      <c r="W32" s="68"/>
      <c r="X32" s="68"/>
      <c r="Y32" s="121"/>
      <c r="AB32" s="134"/>
      <c r="AC32" s="79"/>
    </row>
    <row r="33" spans="1:29" ht="15" hidden="1">
      <c r="A33" s="108"/>
      <c r="B33" s="108"/>
      <c r="C33" s="108"/>
      <c r="D33" s="108"/>
      <c r="E33" s="108"/>
      <c r="F33" s="108"/>
      <c r="G33" s="60"/>
      <c r="H33" s="135"/>
      <c r="I33" s="136">
        <v>0</v>
      </c>
      <c r="J33" s="136">
        <f>SUM(H33:I33)</f>
        <v>0</v>
      </c>
      <c r="K33" s="106"/>
      <c r="N33" s="88"/>
      <c r="O33" s="69"/>
      <c r="P33" s="123"/>
      <c r="Q33" s="124"/>
      <c r="R33" s="123"/>
      <c r="S33" s="68"/>
      <c r="T33" s="68"/>
      <c r="U33" s="68"/>
      <c r="V33" s="68"/>
      <c r="W33" s="68"/>
      <c r="X33" s="68"/>
      <c r="Y33" s="121"/>
      <c r="AC33" s="79"/>
    </row>
    <row r="34" spans="1:29" ht="15" hidden="1">
      <c r="A34" s="108"/>
      <c r="B34" s="108"/>
      <c r="C34" s="108"/>
      <c r="D34" s="108"/>
      <c r="E34" s="108"/>
      <c r="F34" s="108"/>
      <c r="G34" s="60"/>
      <c r="H34" s="135"/>
      <c r="I34" s="136">
        <v>0</v>
      </c>
      <c r="J34" s="136">
        <f>SUM(H34:I34)</f>
        <v>0</v>
      </c>
      <c r="K34" s="106"/>
      <c r="N34" s="88"/>
      <c r="O34" s="69"/>
      <c r="P34" s="123"/>
      <c r="Q34" s="124"/>
      <c r="R34" s="123"/>
      <c r="S34" s="68"/>
      <c r="T34" s="68"/>
      <c r="U34" s="68"/>
      <c r="V34" s="68"/>
      <c r="W34" s="68"/>
      <c r="X34" s="68"/>
      <c r="Y34" s="121"/>
      <c r="AC34" s="79"/>
    </row>
    <row r="35" spans="1:29" ht="15" hidden="1">
      <c r="A35" s="108"/>
      <c r="B35" s="108"/>
      <c r="C35" s="108"/>
      <c r="D35" s="108"/>
      <c r="E35" s="108"/>
      <c r="F35" s="108"/>
      <c r="G35" s="60"/>
      <c r="H35" s="135"/>
      <c r="I35" s="136">
        <v>0</v>
      </c>
      <c r="J35" s="136">
        <f>SUM(H35:I35)</f>
        <v>0</v>
      </c>
      <c r="K35" s="106"/>
      <c r="N35" s="88"/>
      <c r="O35" s="69"/>
      <c r="P35" s="123"/>
      <c r="Q35" s="124"/>
      <c r="R35" s="123"/>
      <c r="S35" s="68"/>
      <c r="T35" s="68"/>
      <c r="U35" s="68"/>
      <c r="V35" s="68"/>
      <c r="W35" s="68"/>
      <c r="X35" s="68"/>
      <c r="Y35" s="121"/>
      <c r="AC35" s="79"/>
    </row>
    <row r="36" spans="1:29" ht="15" hidden="1">
      <c r="A36" s="108"/>
      <c r="B36" s="108"/>
      <c r="C36" s="108"/>
      <c r="D36" s="108"/>
      <c r="E36" s="108"/>
      <c r="F36" s="108"/>
      <c r="G36" s="60"/>
      <c r="H36" s="135"/>
      <c r="I36" s="136">
        <v>0</v>
      </c>
      <c r="J36" s="136">
        <f>SUM(H36:I36)</f>
        <v>0</v>
      </c>
      <c r="K36" s="106"/>
      <c r="N36" s="88"/>
      <c r="O36" s="69"/>
      <c r="P36" s="123"/>
      <c r="Q36" s="124"/>
      <c r="R36" s="123"/>
      <c r="S36" s="68"/>
      <c r="T36" s="68"/>
      <c r="U36" s="68"/>
      <c r="V36" s="68"/>
      <c r="W36" s="68"/>
      <c r="X36" s="68"/>
      <c r="Y36" s="65"/>
      <c r="Z36" s="127"/>
      <c r="AA36" s="127"/>
      <c r="AB36" s="127"/>
      <c r="AC36" s="79"/>
    </row>
    <row r="37" spans="1:29" ht="15">
      <c r="A37" s="112"/>
      <c r="B37" s="137"/>
      <c r="C37" s="131"/>
      <c r="D37" s="115" t="s">
        <v>48</v>
      </c>
      <c r="E37" s="115"/>
      <c r="F37" s="115"/>
      <c r="G37" s="116">
        <f>SUBTOTAL(9,G33:G36)</f>
        <v>0</v>
      </c>
      <c r="H37" s="116">
        <f>SUBTOTAL(9,H33:H36)</f>
        <v>0</v>
      </c>
      <c r="I37" s="136">
        <f>SUBTOTAL(9,I33:I36)</f>
        <v>0</v>
      </c>
      <c r="J37" s="132">
        <f>SUBTOTAL(9,J33:J36)</f>
        <v>0</v>
      </c>
      <c r="K37" s="118"/>
      <c r="N37" s="88"/>
      <c r="O37" s="69"/>
      <c r="P37" s="123"/>
      <c r="Q37" s="124"/>
      <c r="R37" s="123"/>
      <c r="S37" s="68"/>
      <c r="T37" s="68"/>
      <c r="U37" s="68"/>
      <c r="V37" s="68"/>
      <c r="W37" s="68"/>
      <c r="X37" s="68"/>
      <c r="Y37" s="26"/>
      <c r="AC37" s="79"/>
    </row>
    <row r="38" spans="1:29" ht="15" hidden="1">
      <c r="A38" s="138" t="s">
        <v>49</v>
      </c>
      <c r="B38" s="139"/>
      <c r="C38" s="110"/>
      <c r="D38" s="108"/>
      <c r="E38" s="108"/>
      <c r="F38" s="108"/>
      <c r="G38" s="60"/>
      <c r="H38" s="135"/>
      <c r="I38" s="136"/>
      <c r="J38" s="125"/>
      <c r="K38" s="106"/>
      <c r="N38" s="88"/>
      <c r="O38" s="69"/>
      <c r="P38" s="123"/>
      <c r="Q38" s="124"/>
      <c r="R38" s="123"/>
      <c r="S38" s="68"/>
      <c r="T38" s="68"/>
      <c r="U38" s="68"/>
      <c r="V38" s="68"/>
      <c r="W38" s="68"/>
      <c r="X38" s="68"/>
      <c r="Y38" s="26"/>
      <c r="AC38" s="79"/>
    </row>
    <row r="39" spans="1:29" ht="15" hidden="1">
      <c r="A39" s="139"/>
      <c r="B39" s="104" t="s">
        <v>50</v>
      </c>
      <c r="C39" s="110"/>
      <c r="D39" s="108"/>
      <c r="E39" s="140">
        <v>0</v>
      </c>
      <c r="F39" s="108"/>
      <c r="G39" s="60">
        <f>(G20+G37)*E39</f>
        <v>0</v>
      </c>
      <c r="H39" s="135">
        <f>(H20+H37)*$E$39</f>
        <v>0</v>
      </c>
      <c r="I39" s="136">
        <v>0</v>
      </c>
      <c r="J39" s="125">
        <f>H39+I39</f>
        <v>0</v>
      </c>
      <c r="K39" s="106"/>
      <c r="N39" s="88"/>
      <c r="O39" s="69"/>
      <c r="P39" s="123"/>
      <c r="Q39" s="124"/>
      <c r="R39" s="123"/>
      <c r="S39" s="68"/>
      <c r="T39" s="68"/>
      <c r="U39" s="68"/>
      <c r="V39" s="68"/>
      <c r="W39" s="68"/>
      <c r="X39" s="68"/>
      <c r="Y39" s="26"/>
      <c r="AC39" s="79"/>
    </row>
    <row r="40" spans="1:29" ht="15" hidden="1">
      <c r="A40" s="139"/>
      <c r="B40" s="139"/>
      <c r="C40" s="110"/>
      <c r="D40" s="108"/>
      <c r="E40" s="108"/>
      <c r="F40" s="108"/>
      <c r="G40" s="60"/>
      <c r="H40" s="135"/>
      <c r="I40" s="136"/>
      <c r="J40" s="125"/>
      <c r="K40" s="106"/>
      <c r="N40" s="88"/>
      <c r="O40" s="69"/>
      <c r="P40" s="123"/>
      <c r="Q40" s="124"/>
      <c r="R40" s="123"/>
      <c r="S40" s="68"/>
      <c r="T40" s="68"/>
      <c r="U40" s="68"/>
      <c r="V40" s="68"/>
      <c r="W40" s="68"/>
      <c r="X40" s="68"/>
      <c r="Y40" s="26"/>
      <c r="AC40" s="79"/>
    </row>
    <row r="41" spans="1:29" ht="15" hidden="1">
      <c r="A41" s="114"/>
      <c r="B41" s="141"/>
      <c r="C41" s="141"/>
      <c r="D41" s="115" t="s">
        <v>51</v>
      </c>
      <c r="E41" s="115"/>
      <c r="F41" s="115"/>
      <c r="G41" s="60">
        <f>SUBTOTAL(9,G39:G40)</f>
        <v>0</v>
      </c>
      <c r="H41" s="116">
        <f>SUBTOTAL(9,H39:H40)</f>
        <v>0</v>
      </c>
      <c r="I41" s="136">
        <v>0</v>
      </c>
      <c r="J41" s="132">
        <f>SUBTOTAL(9,J39:J40)</f>
        <v>0</v>
      </c>
      <c r="K41" s="118" t="e">
        <f>J41/G41</f>
        <v>#DIV/0!</v>
      </c>
      <c r="N41" s="88"/>
      <c r="O41" s="69"/>
      <c r="P41" s="123"/>
      <c r="Q41" s="124"/>
      <c r="R41" s="123"/>
      <c r="S41" s="68"/>
      <c r="T41" s="68"/>
      <c r="U41" s="68"/>
      <c r="V41" s="68"/>
      <c r="W41" s="68"/>
      <c r="X41" s="68"/>
      <c r="Y41" s="26"/>
      <c r="AC41" s="79"/>
    </row>
    <row r="42" spans="1:29" ht="15">
      <c r="A42" s="142" t="s">
        <v>52</v>
      </c>
      <c r="C42" s="98"/>
      <c r="D42" s="143"/>
      <c r="E42" s="144"/>
      <c r="F42" s="145"/>
      <c r="G42" s="60"/>
      <c r="H42" s="146"/>
      <c r="I42" s="136"/>
      <c r="J42" s="126"/>
      <c r="K42" s="63"/>
      <c r="N42" s="88"/>
      <c r="O42" s="69"/>
      <c r="P42" s="123"/>
      <c r="Q42" s="124"/>
      <c r="R42" s="123"/>
      <c r="S42" s="68"/>
      <c r="T42" s="68"/>
      <c r="U42" s="68"/>
      <c r="V42" s="68"/>
      <c r="W42" s="68"/>
      <c r="X42" s="68"/>
      <c r="Y42" s="65"/>
      <c r="Z42" s="127"/>
      <c r="AA42" s="127"/>
      <c r="AB42" s="127"/>
      <c r="AC42" s="79"/>
    </row>
    <row r="43" spans="1:29" ht="15">
      <c r="B43" s="90" t="s">
        <v>53</v>
      </c>
      <c r="C43" s="90"/>
      <c r="D43" s="90"/>
      <c r="E43" s="99">
        <v>0.08</v>
      </c>
      <c r="F43" s="143"/>
      <c r="G43" s="60">
        <f>G20*E43</f>
        <v>11444.840800000002</v>
      </c>
      <c r="H43" s="146">
        <f>'[1]Sub Labor'!I23</f>
        <v>1936.8123955200001</v>
      </c>
      <c r="I43" s="125">
        <v>11036.54</v>
      </c>
      <c r="J43" s="126">
        <f>H43+I43</f>
        <v>12973.352395520002</v>
      </c>
      <c r="K43" s="63"/>
      <c r="N43" s="68"/>
      <c r="O43" s="69"/>
      <c r="P43" s="123"/>
      <c r="Q43" s="124"/>
      <c r="R43" s="123"/>
      <c r="S43" s="68"/>
      <c r="T43" s="68"/>
      <c r="U43" s="68"/>
      <c r="V43" s="68"/>
      <c r="W43" s="68"/>
      <c r="X43" s="68"/>
      <c r="Y43" s="65"/>
      <c r="AC43" s="79"/>
    </row>
    <row r="44" spans="1:29" ht="15" hidden="1">
      <c r="A44" s="108"/>
      <c r="B44" s="110" t="s">
        <v>54</v>
      </c>
      <c r="C44" s="110"/>
      <c r="D44" s="110"/>
      <c r="E44" s="147">
        <v>0.02</v>
      </c>
      <c r="F44" s="148"/>
      <c r="G44" s="60">
        <f>ROUND(G37*$E44,2)</f>
        <v>0</v>
      </c>
      <c r="H44" s="135">
        <f>ROUND(H37*$E44,2)</f>
        <v>0</v>
      </c>
      <c r="I44" s="136">
        <v>0</v>
      </c>
      <c r="J44" s="136">
        <f>+H44+I44</f>
        <v>0</v>
      </c>
      <c r="K44" s="106"/>
      <c r="N44" s="68"/>
      <c r="O44" s="69"/>
      <c r="P44" s="123"/>
      <c r="Q44" s="124"/>
      <c r="R44" s="123"/>
      <c r="S44" s="68"/>
      <c r="T44" s="68"/>
      <c r="U44" s="68"/>
      <c r="V44" s="68"/>
      <c r="W44" s="68"/>
      <c r="X44" s="68"/>
      <c r="Y44" s="65"/>
      <c r="AA44" s="149"/>
      <c r="AC44" s="79"/>
    </row>
    <row r="45" spans="1:29" ht="15" hidden="1">
      <c r="A45" s="108"/>
      <c r="B45" s="110"/>
      <c r="C45" s="110"/>
      <c r="D45" s="110"/>
      <c r="E45" s="147"/>
      <c r="F45" s="148"/>
      <c r="G45" s="60"/>
      <c r="H45" s="93"/>
      <c r="I45" s="125"/>
      <c r="J45" s="125"/>
      <c r="K45" s="106"/>
      <c r="N45" s="68"/>
      <c r="O45" s="69"/>
      <c r="P45" s="123"/>
      <c r="Q45" s="124"/>
      <c r="R45" s="123"/>
      <c r="S45" s="68"/>
      <c r="T45" s="68"/>
      <c r="U45" s="68"/>
      <c r="V45" s="68"/>
      <c r="W45" s="68"/>
      <c r="X45" s="68"/>
      <c r="Y45" s="65"/>
      <c r="AC45" s="79"/>
    </row>
    <row r="46" spans="1:29" ht="15">
      <c r="B46" s="150" t="s">
        <v>55</v>
      </c>
      <c r="D46" s="90"/>
      <c r="E46" s="65"/>
      <c r="G46" s="60"/>
      <c r="H46" s="61"/>
      <c r="I46" s="125"/>
      <c r="J46" s="126"/>
      <c r="K46" s="63"/>
      <c r="N46" s="68"/>
      <c r="O46" s="69"/>
      <c r="P46" s="123"/>
      <c r="Q46" s="124"/>
      <c r="R46" s="123"/>
      <c r="S46" s="68"/>
      <c r="T46" s="68"/>
      <c r="U46" s="68"/>
      <c r="V46" s="68"/>
      <c r="W46" s="68"/>
      <c r="X46" s="68"/>
      <c r="Y46" s="98"/>
      <c r="Z46" s="127"/>
      <c r="AA46" s="127"/>
      <c r="AB46" s="127"/>
      <c r="AC46" s="79"/>
    </row>
    <row r="47" spans="1:29" ht="19.5" customHeight="1">
      <c r="A47" s="112"/>
      <c r="B47" s="137"/>
      <c r="C47" s="131"/>
      <c r="D47" s="115" t="s">
        <v>56</v>
      </c>
      <c r="E47" s="115"/>
      <c r="F47" s="115"/>
      <c r="G47" s="116">
        <f>SUBTOTAL(9,G42:G46)</f>
        <v>11444.840800000002</v>
      </c>
      <c r="H47" s="117">
        <f>SUBTOTAL(9,H42:H46)</f>
        <v>1936.8123955200001</v>
      </c>
      <c r="I47" s="125">
        <f>SUBTOTAL(9,I42:I46)</f>
        <v>11036.54</v>
      </c>
      <c r="J47" s="132">
        <f>SUBTOTAL(9,J42:J46)</f>
        <v>12973.352395520002</v>
      </c>
      <c r="K47" s="118">
        <f>J47/G47</f>
        <v>1.1335546402288095</v>
      </c>
      <c r="M47" s="94"/>
      <c r="N47" s="88"/>
      <c r="O47" s="69"/>
      <c r="P47" s="123"/>
      <c r="Q47" s="124"/>
      <c r="R47" s="123"/>
      <c r="S47" s="68"/>
      <c r="T47" s="68"/>
      <c r="U47" s="68"/>
      <c r="V47" s="68"/>
      <c r="W47" s="68"/>
      <c r="X47" s="68"/>
      <c r="Y47" s="98"/>
      <c r="Z47" s="143"/>
      <c r="AA47" s="151"/>
      <c r="AB47" s="143"/>
      <c r="AC47" s="79"/>
    </row>
    <row r="48" spans="1:29" ht="19.5" customHeight="1">
      <c r="A48" s="64"/>
      <c r="B48" s="121" t="s">
        <v>57</v>
      </c>
      <c r="C48" s="121"/>
      <c r="D48" s="121"/>
      <c r="E48" s="99">
        <v>3.8999999999999998E-3</v>
      </c>
      <c r="F48" s="152"/>
      <c r="G48" s="60">
        <f>G7*0.0013</f>
        <v>0</v>
      </c>
      <c r="H48" s="61">
        <f>ROUND((H$7)*$E48,2)</f>
        <v>0</v>
      </c>
      <c r="I48" s="93">
        <f t="shared" ref="I48" si="2">+J48-H48</f>
        <v>0</v>
      </c>
      <c r="J48" s="61">
        <f>+N48</f>
        <v>0</v>
      </c>
      <c r="K48" s="153"/>
      <c r="N48" s="68"/>
      <c r="O48" s="69"/>
      <c r="P48" s="123"/>
      <c r="Q48" s="124"/>
      <c r="R48" s="123"/>
      <c r="S48" s="68"/>
      <c r="T48" s="68"/>
      <c r="U48" s="68"/>
      <c r="V48" s="68"/>
      <c r="W48" s="68"/>
      <c r="X48" s="68"/>
      <c r="Y48" s="90"/>
      <c r="Z48" s="90"/>
      <c r="AA48" s="99"/>
      <c r="AB48" s="143"/>
      <c r="AC48" s="79"/>
    </row>
    <row r="49" spans="1:29" ht="15">
      <c r="B49" s="121" t="s">
        <v>58</v>
      </c>
      <c r="C49" s="121"/>
      <c r="D49" s="121"/>
      <c r="E49" s="99">
        <f>E48</f>
        <v>3.8999999999999998E-3</v>
      </c>
      <c r="F49" s="152"/>
      <c r="G49" s="60">
        <f>G11*0</f>
        <v>0</v>
      </c>
      <c r="H49" s="61">
        <f>ROUND((H$11)*$E49,2)</f>
        <v>42.81</v>
      </c>
      <c r="I49" s="93">
        <v>0</v>
      </c>
      <c r="J49" s="126">
        <f>H49+I49</f>
        <v>42.81</v>
      </c>
      <c r="K49" s="63"/>
      <c r="N49" s="68"/>
      <c r="O49" s="69"/>
      <c r="P49" s="71"/>
      <c r="Q49" s="124"/>
      <c r="R49" s="71"/>
      <c r="S49" s="72"/>
      <c r="T49" s="72"/>
      <c r="U49" s="72"/>
      <c r="V49" s="72"/>
      <c r="W49" s="72"/>
      <c r="X49" s="72"/>
      <c r="Y49" s="65"/>
      <c r="Z49" s="65"/>
      <c r="AA49" s="99"/>
      <c r="AB49" s="143"/>
      <c r="AC49" s="79"/>
    </row>
    <row r="50" spans="1:29" ht="15" hidden="1">
      <c r="B50" s="154" t="s">
        <v>59</v>
      </c>
      <c r="C50" s="154"/>
      <c r="D50" s="154"/>
      <c r="E50" s="154"/>
      <c r="F50" s="155"/>
      <c r="G50" s="75"/>
      <c r="H50" s="61">
        <v>0</v>
      </c>
      <c r="I50" s="93">
        <v>0</v>
      </c>
      <c r="J50" s="61">
        <f t="shared" ref="J50" si="3">SUM(H50:I50)</f>
        <v>0</v>
      </c>
      <c r="K50" s="63"/>
      <c r="N50" s="68"/>
      <c r="O50" s="69"/>
      <c r="P50" s="71"/>
      <c r="Q50" s="124"/>
      <c r="R50" s="71"/>
      <c r="S50" s="72"/>
      <c r="T50" s="72"/>
      <c r="U50" s="72"/>
      <c r="V50" s="72"/>
      <c r="W50" s="72"/>
      <c r="X50" s="72"/>
      <c r="Y50" s="65"/>
      <c r="Z50" s="65"/>
      <c r="AA50" s="99"/>
      <c r="AB50" s="143"/>
      <c r="AC50" s="79"/>
    </row>
    <row r="51" spans="1:29" ht="15">
      <c r="A51" s="112"/>
      <c r="B51" s="131"/>
      <c r="C51" s="137"/>
      <c r="D51" s="115" t="s">
        <v>60</v>
      </c>
      <c r="E51" s="115"/>
      <c r="F51" s="141"/>
      <c r="G51" s="156">
        <f>SUBTOTAL(9,G7:G50)</f>
        <v>156185.35080000001</v>
      </c>
      <c r="H51" s="157">
        <f>SUBTOTAL(9,H7:H50)</f>
        <v>26189.777339520002</v>
      </c>
      <c r="I51" s="158">
        <f>SUBTOTAL(9,I7:I50)</f>
        <v>152693.26</v>
      </c>
      <c r="J51" s="157">
        <f>SUBTOTAL(9,J7:J50)</f>
        <v>178883.03733951997</v>
      </c>
      <c r="K51" s="159">
        <f>J51/G51</f>
        <v>1.1453253229144711</v>
      </c>
      <c r="N51" s="160"/>
      <c r="O51" s="161"/>
      <c r="P51" s="162"/>
      <c r="Q51" s="163"/>
      <c r="R51" s="164"/>
      <c r="S51" s="88"/>
      <c r="T51" s="88"/>
      <c r="U51" s="88"/>
      <c r="V51" s="88"/>
      <c r="W51" s="88"/>
      <c r="X51" s="88"/>
      <c r="Y51" s="26"/>
      <c r="Z51" s="90"/>
      <c r="AA51" s="65"/>
      <c r="AC51" s="79"/>
    </row>
    <row r="52" spans="1:29" ht="19.5" customHeight="1">
      <c r="D52" s="165" t="s">
        <v>61</v>
      </c>
      <c r="E52" s="165"/>
      <c r="F52" s="165"/>
      <c r="G52" s="166">
        <f>G51-J51</f>
        <v>-22697.686539519957</v>
      </c>
      <c r="N52" s="168"/>
      <c r="O52" s="54"/>
      <c r="P52" s="71"/>
      <c r="Q52" s="56"/>
      <c r="R52" s="71"/>
      <c r="S52" s="72"/>
      <c r="T52" s="72"/>
      <c r="U52" s="72"/>
      <c r="V52" s="72"/>
      <c r="W52" s="72"/>
      <c r="X52" s="72"/>
      <c r="Y52" s="65"/>
      <c r="Z52" s="127"/>
      <c r="AA52" s="127"/>
      <c r="AB52" s="127"/>
      <c r="AC52" s="79"/>
    </row>
    <row r="53" spans="1:29" ht="14">
      <c r="F53" s="98"/>
      <c r="M53" s="169"/>
      <c r="N53" s="168"/>
      <c r="O53" s="170"/>
      <c r="P53" s="171"/>
      <c r="Q53" s="172"/>
      <c r="R53" s="171"/>
      <c r="S53" s="173"/>
      <c r="T53" s="173"/>
      <c r="U53" s="173"/>
      <c r="V53" s="173"/>
      <c r="W53" s="173"/>
      <c r="X53" s="173"/>
      <c r="Y53" s="121"/>
      <c r="Z53" s="121"/>
      <c r="AA53" s="99"/>
      <c r="AB53" s="174"/>
      <c r="AC53" s="79"/>
    </row>
    <row r="54" spans="1:29" ht="14">
      <c r="F54" s="175" t="s">
        <v>62</v>
      </c>
      <c r="G54" s="176">
        <f>G51</f>
        <v>156185.35080000001</v>
      </c>
      <c r="H54" s="177"/>
      <c r="I54" s="178"/>
      <c r="J54" s="179">
        <f>J43</f>
        <v>12973.352395520002</v>
      </c>
      <c r="M54" s="180"/>
      <c r="Y54" s="121"/>
      <c r="Z54" s="121"/>
      <c r="AA54" s="99"/>
      <c r="AB54" s="174"/>
      <c r="AC54" s="79"/>
    </row>
    <row r="55" spans="1:29" ht="14">
      <c r="F55" s="175" t="s">
        <v>63</v>
      </c>
      <c r="G55" s="179">
        <f>+G54-G51</f>
        <v>0</v>
      </c>
      <c r="H55" s="184"/>
      <c r="I55" s="179"/>
      <c r="J55" s="179"/>
      <c r="M55" s="169"/>
      <c r="N55" s="168"/>
      <c r="Y55" s="65"/>
      <c r="Z55" s="65"/>
      <c r="AA55" s="65"/>
      <c r="AB55" s="65"/>
      <c r="AC55" s="79"/>
    </row>
    <row r="56" spans="1:29" ht="14">
      <c r="F56" s="175" t="s">
        <v>52</v>
      </c>
      <c r="G56" s="185">
        <v>0</v>
      </c>
      <c r="H56" s="184"/>
      <c r="I56" s="184"/>
      <c r="J56" s="179"/>
      <c r="Y56" s="186"/>
      <c r="Z56" s="127"/>
      <c r="AA56" s="127"/>
      <c r="AB56" s="98"/>
      <c r="AC56" s="187"/>
    </row>
    <row r="57" spans="1:29" ht="14">
      <c r="D57" s="65"/>
      <c r="F57" s="175" t="s">
        <v>63</v>
      </c>
      <c r="G57" s="179">
        <v>0</v>
      </c>
      <c r="H57" s="179"/>
      <c r="I57" s="179"/>
      <c r="J57" s="179"/>
    </row>
    <row r="58" spans="1:29" ht="19.5" customHeight="1">
      <c r="H58" s="188">
        <f>+INVOICE-H31</f>
        <v>26189.777339520002</v>
      </c>
      <c r="I58" s="189" t="s">
        <v>64</v>
      </c>
    </row>
    <row r="59" spans="1:29" ht="19.5" customHeight="1">
      <c r="H59" s="188">
        <f>+H31</f>
        <v>0</v>
      </c>
      <c r="I59" s="188" t="s">
        <v>65</v>
      </c>
    </row>
    <row r="60" spans="1:29" ht="19.5" customHeight="1">
      <c r="D60" s="65"/>
    </row>
    <row r="61" spans="1:29" ht="19.5" customHeight="1">
      <c r="H61" s="190"/>
    </row>
  </sheetData>
  <mergeCells count="19">
    <mergeCell ref="Z56:AA56"/>
    <mergeCell ref="Z46:AB46"/>
    <mergeCell ref="D47:F47"/>
    <mergeCell ref="B50:F50"/>
    <mergeCell ref="D51:E51"/>
    <mergeCell ref="D52:F52"/>
    <mergeCell ref="Z52:AB52"/>
    <mergeCell ref="Z25:AB25"/>
    <mergeCell ref="D31:F31"/>
    <mergeCell ref="Z36:AB36"/>
    <mergeCell ref="D37:F37"/>
    <mergeCell ref="D41:F41"/>
    <mergeCell ref="Z42:AB42"/>
    <mergeCell ref="A1:D1"/>
    <mergeCell ref="J2:K2"/>
    <mergeCell ref="D5:F5"/>
    <mergeCell ref="P7:Q7"/>
    <mergeCell ref="Z10:AB10"/>
    <mergeCell ref="D20:F20"/>
  </mergeCells>
  <pageMargins left="0.63" right="0.64" top="1" bottom="0.9" header="0.5" footer="0.5"/>
  <pageSetup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Sub Calc _revised</vt:lpstr>
      <vt:lpstr>'Sub Calc _revised'!BALANCE</vt:lpstr>
      <vt:lpstr>'Sub Calc _revised'!FIXFEE</vt:lpstr>
      <vt:lpstr>'Sub Calc _revised'!INVOICE</vt:lpstr>
      <vt:lpstr>'Sub Calc _revised'!Print_Area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2026-06-25T22:22:04Z</dcterms:created>
  <dcterms:modified xsi:type="dcterms:W3CDTF">2026-06-25T22:22:18Z</dcterms:modified>
</cp:coreProperties>
</file>