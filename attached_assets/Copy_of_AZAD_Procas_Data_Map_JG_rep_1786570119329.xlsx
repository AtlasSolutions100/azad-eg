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grizmora/Downloads/"/>
    </mc:Choice>
  </mc:AlternateContent>
  <xr:revisionPtr revIDLastSave="0" documentId="8_{515D4111-B723-FE4C-80ED-9BE865B70316}" xr6:coauthVersionLast="47" xr6:coauthVersionMax="47" xr10:uidLastSave="{00000000-0000-0000-0000-000000000000}"/>
  <bookViews>
    <workbookView xWindow="3700" yWindow="700" windowWidth="28800" windowHeight="17400" xr2:uid="{00000000-000D-0000-FFFF-FFFF00000000}"/>
  </bookViews>
  <sheets>
    <sheet name="Data Map"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2" l="1"/>
  <c r="H11" i="2"/>
</calcChain>
</file>

<file path=xl/sharedStrings.xml><?xml version="1.0" encoding="utf-8"?>
<sst xmlns="http://schemas.openxmlformats.org/spreadsheetml/2006/main" count="245" uniqueCount="133">
  <si>
    <t>Package Tab</t>
  </si>
  <si>
    <t>Field / Line Item</t>
  </si>
  <si>
    <t>Example (from current package)</t>
  </si>
  <si>
    <t>Type</t>
  </si>
  <si>
    <t>Frequency</t>
  </si>
  <si>
    <t>Procas Report Name</t>
  </si>
  <si>
    <t>Procas Field / Column</t>
  </si>
  <si>
    <t>Notes / Open Question</t>
  </si>
  <si>
    <t>Invoice</t>
  </si>
  <si>
    <t>Invoice No.</t>
  </si>
  <si>
    <t>A.05-01-16</t>
  </si>
  <si>
    <t>Recurring - variable</t>
  </si>
  <si>
    <t>Every cycle</t>
  </si>
  <si>
    <t>Billing History report</t>
  </si>
  <si>
    <t>Column X ("Invoice Number")</t>
  </si>
  <si>
    <t>Procas invoice # currently doesn't match ours — need crosswalk table or renumber in Procas</t>
  </si>
  <si>
    <t>Invoice Date</t>
  </si>
  <si>
    <t>7/29/2026</t>
  </si>
  <si>
    <t>PO No.</t>
  </si>
  <si>
    <t>71262</t>
  </si>
  <si>
    <t>Static per work plan</t>
  </si>
  <si>
    <t>One-time setup</t>
  </si>
  <si>
    <t>Agreement No.</t>
  </si>
  <si>
    <t>6M8178</t>
  </si>
  <si>
    <t>Static per contract</t>
  </si>
  <si>
    <t>Work Plan Title</t>
  </si>
  <si>
    <t>MOCC &amp; LMA HVAC</t>
  </si>
  <si>
    <t>Period of Service (From/To)</t>
  </si>
  <si>
    <t>5/30/26 – 6/30/26</t>
  </si>
  <si>
    <t>Depends on which of the 3 billing period formats (whole month / last-Friday-to-last-Friday / Caltrans D3 custom) applies to this work plan</t>
  </si>
  <si>
    <t>Total Work Plan Budget</t>
  </si>
  <si>
    <t>$1,381,971.85 (example)</t>
  </si>
  <si>
    <t>Static - rarely changes</t>
  </si>
  <si>
    <t>Contract mods only</t>
  </si>
  <si>
    <t>Total Billed This Period</t>
  </si>
  <si>
    <t>example figure</t>
  </si>
  <si>
    <t>Calculated</t>
  </si>
  <si>
    <t>—</t>
  </si>
  <si>
    <t>Previously Billed Amount</t>
  </si>
  <si>
    <t>Billing Invoice Report</t>
  </si>
  <si>
    <t>Pivot on Col U "GL Sales Trans", sum Col AW "TotalBillingAmount"</t>
  </si>
  <si>
    <t>Confirmed logic — no dedicated field exists, must be derived this way every time</t>
  </si>
  <si>
    <t>Total Billed to Date</t>
  </si>
  <si>
    <t>Amount Remaining</t>
  </si>
  <si>
    <t>Sub Calc</t>
  </si>
  <si>
    <t>Budget (per cost category: Field Labor, Fringe, Fixed Fee, FCCM, etc.)</t>
  </si>
  <si>
    <t>example figures</t>
  </si>
  <si>
    <t>Confirm whether these live in Procas at all, or are contract terms we maintain ourselves</t>
  </si>
  <si>
    <t>Amount This Period (per cost category)</t>
  </si>
  <si>
    <t>Does Procas break "TotalBillingAmount" down by cost category (labor/ODC/fixed fee), or only give a grand total per invoice?</t>
  </si>
  <si>
    <t>Previously Billed (per cost category)</t>
  </si>
  <si>
    <t>Same open question as above — category-level split</t>
  </si>
  <si>
    <t>% Expended</t>
  </si>
  <si>
    <t>Hours to Date (Current / Previous / To Date)</t>
  </si>
  <si>
    <t>Rolled up from timesheet hours per employee — see Timesheets section below</t>
  </si>
  <si>
    <t>Fringe / Overhead rate, Fixed Fee %, FCCM %</t>
  </si>
  <si>
    <t>1.09, 8%, 0.39% (examples)</t>
  </si>
  <si>
    <t>Confirm source — Procas or a rate table we maintain</t>
  </si>
  <si>
    <t>Other Direct Costs (OT premium, car rental, lodging, meals)</t>
  </si>
  <si>
    <t>Subconsultants</t>
  </si>
  <si>
    <t>Recurring - variable (if applicable)</t>
  </si>
  <si>
    <t>Labor Attachment</t>
  </si>
  <si>
    <t>Invoice Date / Invoice No. / Work Plan No.</t>
  </si>
  <si>
    <t>same as Invoice tab</t>
  </si>
  <si>
    <t>Same fields as Invoice tab</t>
  </si>
  <si>
    <t>Max Rate Cap / Bill Rate Override</t>
  </si>
  <si>
    <t>$115/hr (example)</t>
  </si>
  <si>
    <t>Classification / Name / Task No.</t>
  </si>
  <si>
    <t>e.g. Resident Engineer, Imani Lawson</t>
  </si>
  <si>
    <t>Static per employee</t>
  </si>
  <si>
    <t>Hours (per employee, per period)</t>
  </si>
  <si>
    <t>This is the core payroll input — where does Procas store approved hours per employee per period?</t>
  </si>
  <si>
    <t>Rate/Hour (per employee)</t>
  </si>
  <si>
    <t>$83/hr (example)</t>
  </si>
  <si>
    <t>Static - occasional raises</t>
  </si>
  <si>
    <t>As changed</t>
  </si>
  <si>
    <t>Amount / Billed $</t>
  </si>
  <si>
    <t>Progress Report</t>
  </si>
  <si>
    <t>Agreement No. / Work Plan / PO No. / Date / Period</t>
  </si>
  <si>
    <t>Narrative bullet list of work performed</t>
  </si>
  <si>
    <t>free-text bullets per person</t>
  </si>
  <si>
    <t>Manual - not in Procas</t>
  </si>
  <si>
    <t>N/A</t>
  </si>
  <si>
    <t>Not a data field — each team member writes this themselves. Automation should only pre-fill the header, not this content.</t>
  </si>
  <si>
    <t>Timesheets</t>
  </si>
  <si>
    <t>Employee Name</t>
  </si>
  <si>
    <t>e.g. Imani Lawson</t>
  </si>
  <si>
    <t>Static</t>
  </si>
  <si>
    <t>Week Ending date</t>
  </si>
  <si>
    <t>e.g. 6/5/2026</t>
  </si>
  <si>
    <t>Every week</t>
  </si>
  <si>
    <t>Daily hours by task (Sat–Fri)</t>
  </si>
  <si>
    <t>Confirm granularity: does Procas store daily hours by task, or only weekly/period totals? This determines what the timesheet export can actually show.</t>
  </si>
  <si>
    <t>PTO / Holiday hours</t>
  </si>
  <si>
    <t>Submitted by / Approved by</t>
  </si>
  <si>
    <t>name + date</t>
  </si>
  <si>
    <t>Workflow / signature</t>
  </si>
  <si>
    <t>Likely not needed for the automated export — confirm</t>
  </si>
  <si>
    <t>Tied to billing date (in drop down), not a Procas pull:  confirm</t>
  </si>
  <si>
    <t>Correct</t>
  </si>
  <si>
    <t>Correction: Invoice Date is date we are sending invoice. So date report is populated.</t>
  </si>
  <si>
    <t>Yes so consider this "not a Procas pull". We don't need you to do the Sherri Procas invoice so now there's just two options- Last day of month/Last Friday</t>
  </si>
  <si>
    <t>Check in Procas</t>
  </si>
  <si>
    <t>Yes</t>
  </si>
  <si>
    <t>Yes same as above</t>
  </si>
  <si>
    <t>Procas may not have, better if it's pulled from AZAD</t>
  </si>
  <si>
    <t>Yes, we can upload the pdfs with signed timesheets for Procas. For BART we don't get them signed just use the font that makes it look like a signature</t>
  </si>
  <si>
    <t>Yes but Procas reports would also show the employee that worked on each project</t>
  </si>
  <si>
    <t>Would be based on calendar and billing period.</t>
  </si>
  <si>
    <t>Yes. Prefill header and footer.</t>
  </si>
  <si>
    <t>Timesheet</t>
  </si>
  <si>
    <r>
      <t xml:space="preserve">Timesheets </t>
    </r>
    <r>
      <rPr>
        <sz val="10"/>
        <color rgb="FFFF0000"/>
        <rFont val="Arial"/>
        <family val="2"/>
      </rPr>
      <t>Overtime</t>
    </r>
  </si>
  <si>
    <t>This should be down in the same export as employee's timesheet with hours. Let me know if it doesn't show up. Shows up in Timesheets, Column E</t>
  </si>
  <si>
    <r>
      <t xml:space="preserve">Column B- Personnel Name
Column E-Account Desc (If worked Direct Time Field, it is billeable hours. If worked sick/pto/holiday needs to be captured on timesheet. If worked G&amp;A, B&amp;P or Overhead, capture as PTO up to employee working 8 hours in one day)
Column H-Project (this ties them to which invoice the hours are for)
</t>
    </r>
    <r>
      <rPr>
        <sz val="11"/>
        <color rgb="FFFF0000"/>
        <rFont val="Calibri"/>
        <family val="2"/>
        <scheme val="minor"/>
      </rPr>
      <t>Column L- LC Item</t>
    </r>
    <r>
      <rPr>
        <sz val="11"/>
        <color theme="1"/>
        <rFont val="Calibri"/>
        <family val="2"/>
        <scheme val="minor"/>
      </rPr>
      <t xml:space="preserve">
Column N- Paycode. R = regular pay  O==Overtime D= doubletime N= Nightshift,NO= Night Shift Overtime ND= Nightshift Doubletime
Column P- WorkDate
Column Q-Hours Worked
Column R- Status (should only export if approved. Not sure if there is a way to export and have the numbers be red if it's Wwaiitng for Supervisor/Unsubmitted but not yet approved. Can only do invoices if it's approved</t>
    </r>
  </si>
  <si>
    <t>Julie Response</t>
  </si>
  <si>
    <t>Report #1: Billing Item 
Report #2 WorkAuth</t>
  </si>
  <si>
    <r>
      <rPr>
        <b/>
        <sz val="10"/>
        <rFont val="Arial"/>
        <family val="2"/>
      </rPr>
      <t>Columns in Billing Item Report:</t>
    </r>
    <r>
      <rPr>
        <sz val="10"/>
        <rFont val="Arial"/>
        <family val="2"/>
      </rPr>
      <t xml:space="preserve">
Column B- Billing Date Beginning
Column C Billing Date Ending
Column F-LCItem
Column H- Billing Rate
</t>
    </r>
    <r>
      <rPr>
        <b/>
        <sz val="10"/>
        <rFont val="Arial"/>
        <family val="2"/>
      </rPr>
      <t>Columns in Worth Auth:</t>
    </r>
    <r>
      <rPr>
        <sz val="10"/>
        <rFont val="Arial"/>
        <family val="2"/>
      </rPr>
      <t xml:space="preserve">
Column J- LC Item
Column M-Organization Desc
Column P- Project
</t>
    </r>
  </si>
  <si>
    <t>Yes stores daily hours</t>
  </si>
  <si>
    <t>This field should have been blank and not filled out</t>
  </si>
  <si>
    <t>I would prefer for it to be pulled from Procas to streamline things for future invoices. BUT there are several exceptions where we overode what's in Procas and should follow the static spreadsheet</t>
  </si>
  <si>
    <t>Billing Account</t>
  </si>
  <si>
    <t xml:space="preserve">Columns in Billing Item Report:
Column B- Billing Date Beginning
Column C Billing Date Ending
Column D- Project
Column O- Facilitities Percent (FCCM)
Column P- Overhead percent
Column U- Fee percent </t>
  </si>
  <si>
    <t>Billing History Report</t>
  </si>
  <si>
    <t>Sometimes. In instances where employees never work OT, For BART we have the Overhead, fee and FCCM listed in Procas (in the Billing Account Report outlined in row 18 of this spreadsheet). In instances where any employee on that project works OT, there is no Overhead and Fee and no Total indirect cost and costs listed in Procas.</t>
  </si>
  <si>
    <t>Billing History</t>
  </si>
  <si>
    <t>Same answer as above</t>
  </si>
  <si>
    <t xml:space="preserve">Julie to update invoice numbers </t>
  </si>
  <si>
    <t>yes on time set up</t>
  </si>
  <si>
    <r>
      <t xml:space="preserve">Same GL Sales Trans / TotalBillingAmount pivot, if it can be split by category
</t>
    </r>
    <r>
      <rPr>
        <b/>
        <sz val="10"/>
        <rFont val="Arial"/>
        <family val="2"/>
      </rPr>
      <t xml:space="preserve">Column K- Direct Amount (this is the first row in the sub calc)
Column L-Direct Units (this is the total hours worked this billing period)
Column M- Facilities Amount- Amount for FCCM
Column N- Fee Amount 
Column AY- TotalIndirect MUST SUBTRACT THE AMOUNT FROM COLUMN M TO USE
Colymn AX- TotalCosts MUST SUBTRACT THE AMOUNT FROM COLUMN M TO USE
</t>
    </r>
  </si>
  <si>
    <t>TBD waiting for access to GL detail export</t>
  </si>
  <si>
    <t>Column L- Direct Unites (hours)</t>
  </si>
  <si>
    <t xml:space="preserve">This is only available for past hours. </t>
  </si>
  <si>
    <t xml:space="preserve">If an employee for a Bart project worked overtime then this section needs to be populated based on the delta. So it would be triggered if Column N of "timesheet" report had an O, NO, D or ND. In that case it would have to be cacluated with 1/2 of employee's rate of ovetime and additional amount of their rate of doubletime. This is unique to BART.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</si>
</sst>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b/>
      <sz val="10"/>
      <color rgb="FFFFFFFF"/>
      <name val="Arial"/>
      <family val="2"/>
    </font>
    <font>
      <sz val="11"/>
      <color rgb="FFFF0000"/>
      <name val="Calibri"/>
      <family val="2"/>
      <scheme val="minor"/>
    </font>
    <font>
      <sz val="10"/>
      <color rgb="FFFF0000"/>
      <name val="Arial"/>
      <family val="2"/>
    </font>
    <font>
      <b/>
      <sz val="10"/>
      <name val="Arial"/>
      <family val="2"/>
    </font>
    <font>
      <b/>
      <sz val="10"/>
      <color theme="1"/>
      <name val="Arial"/>
      <family val="2"/>
    </font>
  </fonts>
  <fills count="10">
    <fill>
      <patternFill patternType="none"/>
    </fill>
    <fill>
      <patternFill patternType="gray125"/>
    </fill>
    <fill>
      <patternFill patternType="solid">
        <fgColor rgb="FFC6E0B4"/>
      </patternFill>
    </fill>
    <fill>
      <patternFill patternType="solid">
        <fgColor rgb="FFFFF2CC"/>
      </patternFill>
    </fill>
    <fill>
      <patternFill patternType="solid">
        <fgColor rgb="FFF8CBAD"/>
      </patternFill>
    </fill>
    <fill>
      <patternFill patternType="solid">
        <fgColor rgb="FFF2F2F2"/>
      </patternFill>
    </fill>
    <fill>
      <patternFill patternType="solid">
        <fgColor rgb="FF1F2937"/>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s>
  <cellStyleXfs count="1">
    <xf numFmtId="0" fontId="0" fillId="0" borderId="0"/>
  </cellStyleXfs>
  <cellXfs count="20">
    <xf numFmtId="0" fontId="0" fillId="0" borderId="0" xfId="0"/>
    <xf numFmtId="0" fontId="2" fillId="6" borderId="1" xfId="0" applyFont="1" applyFill="1" applyBorder="1" applyAlignment="1">
      <alignment vertical="center" wrapText="1"/>
    </xf>
    <xf numFmtId="0" fontId="1" fillId="0" borderId="1" xfId="0" applyFont="1" applyBorder="1" applyAlignment="1">
      <alignment vertical="top" wrapText="1"/>
    </xf>
    <xf numFmtId="0" fontId="1" fillId="4" borderId="1" xfId="0" applyFont="1" applyFill="1" applyBorder="1" applyAlignment="1">
      <alignment vertical="top" wrapText="1"/>
    </xf>
    <xf numFmtId="0" fontId="1" fillId="3" borderId="1" xfId="0" applyFont="1" applyFill="1" applyBorder="1" applyAlignment="1">
      <alignment vertical="top" wrapText="1"/>
    </xf>
    <xf numFmtId="0" fontId="1" fillId="5" borderId="1" xfId="0" applyFont="1" applyFill="1" applyBorder="1" applyAlignment="1">
      <alignment vertical="top" wrapText="1"/>
    </xf>
    <xf numFmtId="0" fontId="1" fillId="2" borderId="1" xfId="0" applyFont="1" applyFill="1" applyBorder="1" applyAlignment="1">
      <alignment vertical="top" wrapText="1"/>
    </xf>
    <xf numFmtId="0" fontId="2" fillId="6" borderId="2" xfId="0" applyFont="1" applyFill="1" applyBorder="1" applyAlignment="1">
      <alignment vertical="center" wrapText="1"/>
    </xf>
    <xf numFmtId="0" fontId="1" fillId="4" borderId="4" xfId="0" applyFont="1" applyFill="1" applyBorder="1" applyAlignment="1">
      <alignment vertical="top" wrapText="1"/>
    </xf>
    <xf numFmtId="0" fontId="1" fillId="0" borderId="4" xfId="0" applyFont="1" applyBorder="1" applyAlignment="1">
      <alignment vertical="top" wrapText="1"/>
    </xf>
    <xf numFmtId="0" fontId="1" fillId="0" borderId="3" xfId="0" applyFont="1" applyBorder="1" applyAlignment="1">
      <alignment vertical="top" wrapText="1"/>
    </xf>
    <xf numFmtId="0" fontId="0" fillId="0" borderId="3" xfId="0" applyBorder="1"/>
    <xf numFmtId="0" fontId="0" fillId="7" borderId="3" xfId="0" applyFill="1" applyBorder="1"/>
    <xf numFmtId="0" fontId="0" fillId="8" borderId="3" xfId="0" applyFill="1" applyBorder="1" applyAlignment="1">
      <alignment wrapText="1"/>
    </xf>
    <xf numFmtId="0" fontId="0" fillId="0" borderId="3" xfId="0" applyBorder="1" applyAlignment="1">
      <alignment wrapText="1"/>
    </xf>
    <xf numFmtId="0" fontId="0" fillId="8" borderId="3" xfId="0" applyFill="1" applyBorder="1"/>
    <xf numFmtId="0" fontId="1" fillId="9" borderId="4" xfId="0" applyFont="1" applyFill="1" applyBorder="1" applyAlignment="1">
      <alignment vertical="top" wrapText="1"/>
    </xf>
    <xf numFmtId="0" fontId="1" fillId="8" borderId="3" xfId="0" applyFont="1" applyFill="1" applyBorder="1" applyAlignment="1">
      <alignment vertical="top" wrapText="1"/>
    </xf>
    <xf numFmtId="0" fontId="1" fillId="9" borderId="3" xfId="0" applyFont="1" applyFill="1" applyBorder="1" applyAlignment="1">
      <alignment vertical="top" wrapText="1"/>
    </xf>
    <xf numFmtId="0" fontId="6"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
  <sheetViews>
    <sheetView showGridLines="0" tabSelected="1" workbookViewId="0">
      <pane ySplit="1" topLeftCell="A22" activePane="bottomLeft" state="frozen"/>
      <selection pane="bottomLeft" activeCell="G1" sqref="G1"/>
    </sheetView>
  </sheetViews>
  <sheetFormatPr baseColWidth="10" defaultColWidth="8.83203125" defaultRowHeight="15" x14ac:dyDescent="0.2"/>
  <cols>
    <col min="1" max="1" width="16" customWidth="1"/>
    <col min="2" max="2" width="26" customWidth="1"/>
    <col min="3" max="3" width="28" customWidth="1"/>
    <col min="4" max="5" width="16" customWidth="1"/>
    <col min="6" max="6" width="22" customWidth="1"/>
    <col min="7" max="7" width="54.5" customWidth="1"/>
    <col min="8" max="8" width="42" customWidth="1"/>
    <col min="9" max="9" width="57.1640625" customWidth="1"/>
  </cols>
  <sheetData>
    <row r="1" spans="1:9" ht="30" customHeight="1" x14ac:dyDescent="0.2">
      <c r="A1" s="1" t="s">
        <v>0</v>
      </c>
      <c r="B1" s="1" t="s">
        <v>1</v>
      </c>
      <c r="C1" s="1" t="s">
        <v>2</v>
      </c>
      <c r="D1" s="1" t="s">
        <v>3</v>
      </c>
      <c r="E1" s="1" t="s">
        <v>4</v>
      </c>
      <c r="F1" s="1" t="s">
        <v>5</v>
      </c>
      <c r="G1" s="1" t="s">
        <v>6</v>
      </c>
      <c r="H1" s="1" t="s">
        <v>7</v>
      </c>
      <c r="I1" s="7" t="s">
        <v>114</v>
      </c>
    </row>
    <row r="2" spans="1:9" ht="32" customHeight="1" x14ac:dyDescent="0.2">
      <c r="A2" s="2" t="s">
        <v>8</v>
      </c>
      <c r="B2" s="2" t="s">
        <v>9</v>
      </c>
      <c r="C2" s="2" t="s">
        <v>10</v>
      </c>
      <c r="D2" s="2" t="s">
        <v>11</v>
      </c>
      <c r="E2" s="2" t="s">
        <v>12</v>
      </c>
      <c r="F2" s="3" t="s">
        <v>13</v>
      </c>
      <c r="G2" s="3" t="s">
        <v>14</v>
      </c>
      <c r="H2" s="8" t="s">
        <v>15</v>
      </c>
      <c r="I2" s="18" t="s">
        <v>126</v>
      </c>
    </row>
    <row r="3" spans="1:9" ht="32" customHeight="1" x14ac:dyDescent="0.2">
      <c r="A3" s="2" t="s">
        <v>8</v>
      </c>
      <c r="B3" s="2" t="s">
        <v>16</v>
      </c>
      <c r="C3" s="2" t="s">
        <v>17</v>
      </c>
      <c r="D3" s="2" t="s">
        <v>11</v>
      </c>
      <c r="E3" s="2" t="s">
        <v>12</v>
      </c>
      <c r="F3" s="4"/>
      <c r="G3" s="4"/>
      <c r="H3" s="9" t="s">
        <v>98</v>
      </c>
      <c r="I3" s="10" t="s">
        <v>100</v>
      </c>
    </row>
    <row r="4" spans="1:9" ht="32" customHeight="1" x14ac:dyDescent="0.2">
      <c r="A4" s="2" t="s">
        <v>8</v>
      </c>
      <c r="B4" s="2" t="s">
        <v>18</v>
      </c>
      <c r="C4" s="2" t="s">
        <v>19</v>
      </c>
      <c r="D4" s="2" t="s">
        <v>20</v>
      </c>
      <c r="E4" s="2" t="s">
        <v>21</v>
      </c>
      <c r="F4" s="4"/>
      <c r="G4" s="4"/>
      <c r="H4" s="9"/>
      <c r="I4" s="17" t="s">
        <v>127</v>
      </c>
    </row>
    <row r="5" spans="1:9" ht="32" customHeight="1" x14ac:dyDescent="0.2">
      <c r="A5" s="2" t="s">
        <v>8</v>
      </c>
      <c r="B5" s="2" t="s">
        <v>22</v>
      </c>
      <c r="C5" s="2" t="s">
        <v>23</v>
      </c>
      <c r="D5" s="2" t="s">
        <v>24</v>
      </c>
      <c r="E5" s="2" t="s">
        <v>21</v>
      </c>
      <c r="F5" s="4"/>
      <c r="G5" s="4"/>
      <c r="H5" s="9"/>
      <c r="I5" s="11" t="s">
        <v>99</v>
      </c>
    </row>
    <row r="6" spans="1:9" ht="32" customHeight="1" x14ac:dyDescent="0.2">
      <c r="A6" s="2" t="s">
        <v>8</v>
      </c>
      <c r="B6" s="2" t="s">
        <v>25</v>
      </c>
      <c r="C6" s="2" t="s">
        <v>26</v>
      </c>
      <c r="D6" s="2" t="s">
        <v>20</v>
      </c>
      <c r="E6" s="2" t="s">
        <v>21</v>
      </c>
      <c r="F6" s="4"/>
      <c r="G6" s="4"/>
      <c r="H6" s="9"/>
      <c r="I6" s="11" t="s">
        <v>99</v>
      </c>
    </row>
    <row r="7" spans="1:9" ht="32" customHeight="1" x14ac:dyDescent="0.2">
      <c r="A7" s="2" t="s">
        <v>8</v>
      </c>
      <c r="B7" s="2" t="s">
        <v>27</v>
      </c>
      <c r="C7" s="2" t="s">
        <v>28</v>
      </c>
      <c r="D7" s="2" t="s">
        <v>11</v>
      </c>
      <c r="E7" s="2" t="s">
        <v>12</v>
      </c>
      <c r="F7" s="3"/>
      <c r="G7" s="3"/>
      <c r="H7" s="8" t="s">
        <v>29</v>
      </c>
      <c r="I7" s="17" t="s">
        <v>101</v>
      </c>
    </row>
    <row r="8" spans="1:9" ht="32" customHeight="1" x14ac:dyDescent="0.2">
      <c r="A8" s="2" t="s">
        <v>8</v>
      </c>
      <c r="B8" s="2" t="s">
        <v>30</v>
      </c>
      <c r="C8" s="2" t="s">
        <v>31</v>
      </c>
      <c r="D8" s="2" t="s">
        <v>32</v>
      </c>
      <c r="E8" s="2" t="s">
        <v>33</v>
      </c>
      <c r="F8" s="4"/>
      <c r="G8" s="4"/>
      <c r="H8" s="9"/>
      <c r="I8" s="12" t="s">
        <v>102</v>
      </c>
    </row>
    <row r="9" spans="1:9" ht="32" customHeight="1" x14ac:dyDescent="0.2">
      <c r="A9" s="2" t="s">
        <v>8</v>
      </c>
      <c r="B9" s="2" t="s">
        <v>34</v>
      </c>
      <c r="C9" s="2" t="s">
        <v>35</v>
      </c>
      <c r="D9" s="2" t="s">
        <v>36</v>
      </c>
      <c r="E9" s="2" t="s">
        <v>12</v>
      </c>
      <c r="F9" s="5" t="s">
        <v>37</v>
      </c>
      <c r="G9" s="5" t="s">
        <v>37</v>
      </c>
      <c r="H9" s="9"/>
      <c r="I9" s="11"/>
    </row>
    <row r="10" spans="1:9" ht="32" customHeight="1" x14ac:dyDescent="0.2">
      <c r="A10" s="2" t="s">
        <v>8</v>
      </c>
      <c r="B10" s="2" t="s">
        <v>38</v>
      </c>
      <c r="C10" s="2" t="s">
        <v>35</v>
      </c>
      <c r="D10" s="2" t="s">
        <v>11</v>
      </c>
      <c r="E10" s="2" t="s">
        <v>12</v>
      </c>
      <c r="F10" s="6" t="s">
        <v>39</v>
      </c>
      <c r="G10" s="6" t="s">
        <v>40</v>
      </c>
      <c r="H10" s="9" t="s">
        <v>41</v>
      </c>
      <c r="I10" s="10" t="s">
        <v>103</v>
      </c>
    </row>
    <row r="11" spans="1:9" ht="32" customHeight="1" x14ac:dyDescent="0.2">
      <c r="A11" s="2" t="s">
        <v>8</v>
      </c>
      <c r="B11" s="2" t="s">
        <v>42</v>
      </c>
      <c r="C11" s="2" t="s">
        <v>35</v>
      </c>
      <c r="D11" s="2" t="s">
        <v>36</v>
      </c>
      <c r="E11" s="2" t="s">
        <v>12</v>
      </c>
      <c r="F11" s="5" t="s">
        <v>37</v>
      </c>
      <c r="G11" s="5" t="s">
        <v>37</v>
      </c>
      <c r="H11" s="9" t="e">
        <f>Previously Billed + This Period</f>
        <v>#NAME?</v>
      </c>
      <c r="I11" s="10" t="s">
        <v>104</v>
      </c>
    </row>
    <row r="12" spans="1:9" ht="32" customHeight="1" x14ac:dyDescent="0.2">
      <c r="A12" s="2" t="s">
        <v>8</v>
      </c>
      <c r="B12" s="2" t="s">
        <v>43</v>
      </c>
      <c r="C12" s="2" t="s">
        <v>35</v>
      </c>
      <c r="D12" s="2" t="s">
        <v>36</v>
      </c>
      <c r="E12" s="2" t="s">
        <v>12</v>
      </c>
      <c r="F12" s="5" t="s">
        <v>37</v>
      </c>
      <c r="G12" s="5" t="s">
        <v>37</v>
      </c>
      <c r="H12" s="9"/>
      <c r="I12" s="10" t="s">
        <v>103</v>
      </c>
    </row>
    <row r="13" spans="1:9" ht="32" customHeight="1" x14ac:dyDescent="0.2">
      <c r="A13" s="2" t="s">
        <v>44</v>
      </c>
      <c r="B13" s="2" t="s">
        <v>45</v>
      </c>
      <c r="C13" s="2" t="s">
        <v>46</v>
      </c>
      <c r="D13" s="2" t="s">
        <v>32</v>
      </c>
      <c r="E13" s="2" t="s">
        <v>33</v>
      </c>
      <c r="F13" s="3"/>
      <c r="G13" s="3"/>
      <c r="H13" s="8" t="s">
        <v>47</v>
      </c>
      <c r="I13" s="17" t="s">
        <v>105</v>
      </c>
    </row>
    <row r="14" spans="1:9" ht="165" customHeight="1" x14ac:dyDescent="0.2">
      <c r="A14" s="2" t="s">
        <v>44</v>
      </c>
      <c r="B14" s="2" t="s">
        <v>48</v>
      </c>
      <c r="C14" s="2" t="s">
        <v>46</v>
      </c>
      <c r="D14" s="2" t="s">
        <v>11</v>
      </c>
      <c r="E14" s="2" t="s">
        <v>12</v>
      </c>
      <c r="F14" s="3" t="s">
        <v>124</v>
      </c>
      <c r="G14" s="19"/>
      <c r="H14" s="8" t="s">
        <v>49</v>
      </c>
      <c r="I14" s="15" t="s">
        <v>123</v>
      </c>
    </row>
    <row r="15" spans="1:9" ht="158.5" customHeight="1" x14ac:dyDescent="0.2">
      <c r="A15" s="2" t="s">
        <v>44</v>
      </c>
      <c r="B15" s="2" t="s">
        <v>50</v>
      </c>
      <c r="C15" s="2" t="s">
        <v>46</v>
      </c>
      <c r="D15" s="2" t="s">
        <v>11</v>
      </c>
      <c r="E15" s="2" t="s">
        <v>12</v>
      </c>
      <c r="F15" s="3" t="s">
        <v>122</v>
      </c>
      <c r="G15" s="3" t="s">
        <v>128</v>
      </c>
      <c r="H15" s="8" t="s">
        <v>51</v>
      </c>
      <c r="I15" s="15" t="s">
        <v>125</v>
      </c>
    </row>
    <row r="16" spans="1:9" ht="32" customHeight="1" x14ac:dyDescent="0.2">
      <c r="A16" s="2" t="s">
        <v>44</v>
      </c>
      <c r="B16" s="2" t="s">
        <v>52</v>
      </c>
      <c r="C16" s="2" t="s">
        <v>35</v>
      </c>
      <c r="D16" s="2" t="s">
        <v>36</v>
      </c>
      <c r="E16" s="2" t="s">
        <v>12</v>
      </c>
      <c r="F16" s="5" t="s">
        <v>37</v>
      </c>
      <c r="G16" s="5" t="s">
        <v>37</v>
      </c>
      <c r="H16" s="9" t="e">
        <f>Amount to Date / Budget</f>
        <v>#NAME?</v>
      </c>
      <c r="I16" s="11" t="s">
        <v>103</v>
      </c>
    </row>
    <row r="17" spans="1:9" ht="32" customHeight="1" x14ac:dyDescent="0.2">
      <c r="A17" s="2" t="s">
        <v>44</v>
      </c>
      <c r="B17" s="2" t="s">
        <v>53</v>
      </c>
      <c r="C17" s="2" t="s">
        <v>46</v>
      </c>
      <c r="D17" s="2" t="s">
        <v>11</v>
      </c>
      <c r="E17" s="2" t="s">
        <v>12</v>
      </c>
      <c r="F17" s="4" t="s">
        <v>124</v>
      </c>
      <c r="G17" s="4" t="s">
        <v>130</v>
      </c>
      <c r="H17" s="9" t="s">
        <v>54</v>
      </c>
      <c r="I17" s="15" t="s">
        <v>131</v>
      </c>
    </row>
    <row r="18" spans="1:9" ht="80.5" customHeight="1" x14ac:dyDescent="0.2">
      <c r="A18" s="2" t="s">
        <v>44</v>
      </c>
      <c r="B18" s="2" t="s">
        <v>55</v>
      </c>
      <c r="C18" s="2" t="s">
        <v>56</v>
      </c>
      <c r="D18" s="2" t="s">
        <v>32</v>
      </c>
      <c r="E18" s="2" t="s">
        <v>33</v>
      </c>
      <c r="F18" s="4" t="s">
        <v>120</v>
      </c>
      <c r="G18" s="4" t="s">
        <v>121</v>
      </c>
      <c r="H18" s="9" t="s">
        <v>57</v>
      </c>
      <c r="I18" s="16" t="s">
        <v>119</v>
      </c>
    </row>
    <row r="19" spans="1:9" ht="32" customHeight="1" x14ac:dyDescent="0.2">
      <c r="A19" s="2" t="s">
        <v>44</v>
      </c>
      <c r="B19" s="2" t="s">
        <v>58</v>
      </c>
      <c r="C19" s="2" t="s">
        <v>46</v>
      </c>
      <c r="D19" s="2" t="s">
        <v>11</v>
      </c>
      <c r="E19" s="2" t="s">
        <v>12</v>
      </c>
      <c r="F19" s="4"/>
      <c r="G19" s="4"/>
      <c r="H19" s="9"/>
      <c r="I19" s="15" t="s">
        <v>132</v>
      </c>
    </row>
    <row r="20" spans="1:9" ht="32" customHeight="1" x14ac:dyDescent="0.2">
      <c r="A20" s="2" t="s">
        <v>44</v>
      </c>
      <c r="B20" s="2" t="s">
        <v>59</v>
      </c>
      <c r="C20" s="2" t="s">
        <v>46</v>
      </c>
      <c r="D20" s="2" t="s">
        <v>60</v>
      </c>
      <c r="E20" s="2" t="s">
        <v>12</v>
      </c>
      <c r="F20" s="4"/>
      <c r="G20" s="4"/>
      <c r="H20" s="9"/>
      <c r="I20" s="9" t="s">
        <v>118</v>
      </c>
    </row>
    <row r="21" spans="1:9" ht="32" customHeight="1" x14ac:dyDescent="0.2">
      <c r="A21" s="2" t="s">
        <v>61</v>
      </c>
      <c r="B21" s="2" t="s">
        <v>62</v>
      </c>
      <c r="C21" s="2" t="s">
        <v>63</v>
      </c>
      <c r="D21" s="2" t="s">
        <v>11</v>
      </c>
      <c r="E21" s="2" t="s">
        <v>12</v>
      </c>
      <c r="F21" s="5" t="s">
        <v>37</v>
      </c>
      <c r="G21" s="5" t="s">
        <v>37</v>
      </c>
      <c r="H21" s="9" t="s">
        <v>64</v>
      </c>
      <c r="I21" s="11" t="s">
        <v>103</v>
      </c>
    </row>
    <row r="22" spans="1:9" ht="32" customHeight="1" x14ac:dyDescent="0.2">
      <c r="A22" s="2" t="s">
        <v>61</v>
      </c>
      <c r="B22" s="2" t="s">
        <v>65</v>
      </c>
      <c r="C22" s="2" t="s">
        <v>66</v>
      </c>
      <c r="D22" s="2" t="s">
        <v>24</v>
      </c>
      <c r="E22" s="2" t="s">
        <v>21</v>
      </c>
      <c r="F22" s="4"/>
      <c r="G22" s="4"/>
      <c r="H22" s="9"/>
      <c r="I22" s="11" t="s">
        <v>103</v>
      </c>
    </row>
    <row r="23" spans="1:9" ht="32" customHeight="1" x14ac:dyDescent="0.2">
      <c r="A23" s="2" t="s">
        <v>61</v>
      </c>
      <c r="B23" s="2" t="s">
        <v>67</v>
      </c>
      <c r="C23" s="2" t="s">
        <v>68</v>
      </c>
      <c r="D23" s="2" t="s">
        <v>69</v>
      </c>
      <c r="E23" s="2" t="s">
        <v>21</v>
      </c>
      <c r="F23" s="4"/>
      <c r="G23" s="4"/>
      <c r="H23" s="9"/>
      <c r="I23" s="11" t="s">
        <v>103</v>
      </c>
    </row>
    <row r="24" spans="1:9" ht="32" customHeight="1" x14ac:dyDescent="0.2">
      <c r="A24" s="2" t="s">
        <v>61</v>
      </c>
      <c r="B24" s="2" t="s">
        <v>70</v>
      </c>
      <c r="C24" s="2" t="s">
        <v>46</v>
      </c>
      <c r="D24" s="2" t="s">
        <v>11</v>
      </c>
      <c r="E24" s="2" t="s">
        <v>12</v>
      </c>
      <c r="F24" s="3"/>
      <c r="G24" s="3"/>
      <c r="H24" s="8" t="s">
        <v>71</v>
      </c>
      <c r="I24" s="15" t="s">
        <v>129</v>
      </c>
    </row>
    <row r="25" spans="1:9" ht="160.75" customHeight="1" x14ac:dyDescent="0.2">
      <c r="A25" s="2" t="s">
        <v>61</v>
      </c>
      <c r="B25" s="2" t="s">
        <v>72</v>
      </c>
      <c r="C25" s="2" t="s">
        <v>73</v>
      </c>
      <c r="D25" s="2" t="s">
        <v>74</v>
      </c>
      <c r="E25" s="2" t="s">
        <v>75</v>
      </c>
      <c r="F25" s="4" t="s">
        <v>115</v>
      </c>
      <c r="G25" s="4" t="s">
        <v>116</v>
      </c>
      <c r="H25" s="9"/>
      <c r="I25" s="15"/>
    </row>
    <row r="26" spans="1:9" ht="32" customHeight="1" x14ac:dyDescent="0.2">
      <c r="A26" s="2" t="s">
        <v>61</v>
      </c>
      <c r="B26" s="2" t="s">
        <v>76</v>
      </c>
      <c r="C26" s="2" t="s">
        <v>46</v>
      </c>
      <c r="D26" s="2" t="s">
        <v>36</v>
      </c>
      <c r="E26" s="2" t="s">
        <v>12</v>
      </c>
      <c r="F26" s="5" t="s">
        <v>37</v>
      </c>
      <c r="G26" s="5" t="s">
        <v>37</v>
      </c>
      <c r="H26" s="9"/>
      <c r="I26" s="11" t="s">
        <v>103</v>
      </c>
    </row>
    <row r="27" spans="1:9" ht="32" customHeight="1" x14ac:dyDescent="0.2">
      <c r="A27" s="2" t="s">
        <v>77</v>
      </c>
      <c r="B27" s="2" t="s">
        <v>78</v>
      </c>
      <c r="C27" s="2" t="s">
        <v>63</v>
      </c>
      <c r="D27" s="2" t="s">
        <v>11</v>
      </c>
      <c r="E27" s="2" t="s">
        <v>12</v>
      </c>
      <c r="F27" s="5" t="s">
        <v>37</v>
      </c>
      <c r="G27" s="5" t="s">
        <v>37</v>
      </c>
      <c r="H27" s="9" t="s">
        <v>64</v>
      </c>
      <c r="I27" s="11" t="s">
        <v>103</v>
      </c>
    </row>
    <row r="28" spans="1:9" ht="32" customHeight="1" x14ac:dyDescent="0.2">
      <c r="A28" s="2" t="s">
        <v>77</v>
      </c>
      <c r="B28" s="2" t="s">
        <v>79</v>
      </c>
      <c r="C28" s="2" t="s">
        <v>80</v>
      </c>
      <c r="D28" s="2" t="s">
        <v>81</v>
      </c>
      <c r="E28" s="2" t="s">
        <v>12</v>
      </c>
      <c r="F28" s="5" t="s">
        <v>82</v>
      </c>
      <c r="G28" s="5" t="s">
        <v>82</v>
      </c>
      <c r="H28" s="9" t="s">
        <v>83</v>
      </c>
      <c r="I28" s="11" t="s">
        <v>109</v>
      </c>
    </row>
    <row r="29" spans="1:9" ht="32" customHeight="1" x14ac:dyDescent="0.2">
      <c r="A29" s="2" t="s">
        <v>84</v>
      </c>
      <c r="B29" s="2" t="s">
        <v>85</v>
      </c>
      <c r="C29" s="2" t="s">
        <v>86</v>
      </c>
      <c r="D29" s="2" t="s">
        <v>87</v>
      </c>
      <c r="E29" s="2" t="s">
        <v>21</v>
      </c>
      <c r="F29" s="4"/>
      <c r="G29" s="4"/>
      <c r="H29" s="9"/>
      <c r="I29" s="11" t="s">
        <v>107</v>
      </c>
    </row>
    <row r="30" spans="1:9" ht="32" customHeight="1" x14ac:dyDescent="0.2">
      <c r="A30" s="2" t="s">
        <v>84</v>
      </c>
      <c r="B30" s="2" t="s">
        <v>88</v>
      </c>
      <c r="C30" s="2" t="s">
        <v>89</v>
      </c>
      <c r="D30" s="2" t="s">
        <v>11</v>
      </c>
      <c r="E30" s="2" t="s">
        <v>90</v>
      </c>
      <c r="F30" s="4"/>
      <c r="G30" s="4"/>
      <c r="H30" s="9"/>
      <c r="I30" s="11" t="s">
        <v>108</v>
      </c>
    </row>
    <row r="31" spans="1:9" ht="178.25" customHeight="1" x14ac:dyDescent="0.2">
      <c r="A31" s="2" t="s">
        <v>111</v>
      </c>
      <c r="B31" s="2" t="s">
        <v>91</v>
      </c>
      <c r="C31" s="2" t="s">
        <v>46</v>
      </c>
      <c r="D31" s="2" t="s">
        <v>11</v>
      </c>
      <c r="E31" s="2" t="s">
        <v>90</v>
      </c>
      <c r="F31" s="3" t="s">
        <v>110</v>
      </c>
      <c r="G31" s="13" t="s">
        <v>113</v>
      </c>
      <c r="H31" s="8" t="s">
        <v>92</v>
      </c>
      <c r="I31" s="13" t="s">
        <v>117</v>
      </c>
    </row>
    <row r="32" spans="1:9" ht="32" customHeight="1" x14ac:dyDescent="0.2">
      <c r="A32" s="2" t="s">
        <v>84</v>
      </c>
      <c r="B32" s="2" t="s">
        <v>93</v>
      </c>
      <c r="C32" s="2" t="s">
        <v>46</v>
      </c>
      <c r="D32" s="2" t="s">
        <v>11</v>
      </c>
      <c r="E32" s="2" t="s">
        <v>90</v>
      </c>
      <c r="F32" s="4"/>
      <c r="G32" s="4"/>
      <c r="H32" s="9"/>
      <c r="I32" s="14" t="s">
        <v>112</v>
      </c>
    </row>
    <row r="33" spans="1:9" ht="32" customHeight="1" x14ac:dyDescent="0.2">
      <c r="A33" s="2" t="s">
        <v>84</v>
      </c>
      <c r="B33" s="2" t="s">
        <v>94</v>
      </c>
      <c r="C33" s="2" t="s">
        <v>95</v>
      </c>
      <c r="D33" s="2" t="s">
        <v>96</v>
      </c>
      <c r="E33" s="2" t="s">
        <v>90</v>
      </c>
      <c r="F33" s="4"/>
      <c r="G33" s="4"/>
      <c r="H33" s="9" t="s">
        <v>97</v>
      </c>
      <c r="I33" s="10" t="s">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Mora</cp:lastModifiedBy>
  <dcterms:created xsi:type="dcterms:W3CDTF">2026-08-06T20:11:31Z</dcterms:created>
  <dcterms:modified xsi:type="dcterms:W3CDTF">2026-08-12T21:28:30Z</dcterms:modified>
</cp:coreProperties>
</file>