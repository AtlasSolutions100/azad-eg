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rizmora/Downloads/"/>
    </mc:Choice>
  </mc:AlternateContent>
  <xr:revisionPtr revIDLastSave="0" documentId="8_{D7FF0FCC-9866-AB4E-84E3-7C530B7A1444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Data Ma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H11" i="2"/>
</calcChain>
</file>

<file path=xl/sharedStrings.xml><?xml version="1.0" encoding="utf-8"?>
<sst xmlns="http://schemas.openxmlformats.org/spreadsheetml/2006/main" count="205" uniqueCount="100">
  <si>
    <t>Package Tab</t>
  </si>
  <si>
    <t>Field / Line Item</t>
  </si>
  <si>
    <t>Example (from current package)</t>
  </si>
  <si>
    <t>Type</t>
  </si>
  <si>
    <t>Frequency</t>
  </si>
  <si>
    <t>Procas Report Name</t>
  </si>
  <si>
    <t>Procas Field / Column</t>
  </si>
  <si>
    <t>Notes / Open Question</t>
  </si>
  <si>
    <t>Invoice</t>
  </si>
  <si>
    <t>Invoice No.</t>
  </si>
  <si>
    <t>A.05-01-16</t>
  </si>
  <si>
    <t>Recurring - variable</t>
  </si>
  <si>
    <t>Every cycle</t>
  </si>
  <si>
    <t>Billing History report</t>
  </si>
  <si>
    <t>Column X ("Invoice Number")</t>
  </si>
  <si>
    <t>Procas invoice # currently doesn't match ours — need crosswalk table or renumber in Procas</t>
  </si>
  <si>
    <t>Invoice Date</t>
  </si>
  <si>
    <t>7/29/2026</t>
  </si>
  <si>
    <t>PO No.</t>
  </si>
  <si>
    <t>71262</t>
  </si>
  <si>
    <t>Static per work plan</t>
  </si>
  <si>
    <t>One-time setup</t>
  </si>
  <si>
    <t>Agreement No.</t>
  </si>
  <si>
    <t>6M8178</t>
  </si>
  <si>
    <t>Static per contract</t>
  </si>
  <si>
    <t>Work Plan Title</t>
  </si>
  <si>
    <t>MOCC &amp; LMA HVAC</t>
  </si>
  <si>
    <t>Period of Service (From/To)</t>
  </si>
  <si>
    <t>5/30/26 – 6/30/26</t>
  </si>
  <si>
    <t>Depends on which of the 3 billing period formats (whole month / last-Friday-to-last-Friday / Caltrans D3 custom) applies to this work plan</t>
  </si>
  <si>
    <t>Total Work Plan Budget</t>
  </si>
  <si>
    <t>$1,381,971.85 (example)</t>
  </si>
  <si>
    <t>Static - rarely changes</t>
  </si>
  <si>
    <t>Contract mods only</t>
  </si>
  <si>
    <t>Total Billed This Period</t>
  </si>
  <si>
    <t>example figure</t>
  </si>
  <si>
    <t>Calculated</t>
  </si>
  <si>
    <t>—</t>
  </si>
  <si>
    <t>Previously Billed Amount</t>
  </si>
  <si>
    <t>Billing Invoice Report</t>
  </si>
  <si>
    <t>Pivot on Col U "GL Sales Trans", sum Col AW "TotalBillingAmount"</t>
  </si>
  <si>
    <t>Confirmed logic — no dedicated field exists, must be derived this way every time</t>
  </si>
  <si>
    <t>Total Billed to Date</t>
  </si>
  <si>
    <t>Amount Remaining</t>
  </si>
  <si>
    <t>Sub Calc</t>
  </si>
  <si>
    <t>Budget (per cost category: Field Labor, Fringe, Fixed Fee, FCCM, etc.)</t>
  </si>
  <si>
    <t>example figures</t>
  </si>
  <si>
    <t>Confirm whether these live in Procas at all, or are contract terms we maintain ourselves</t>
  </si>
  <si>
    <t>Amount This Period (per cost category)</t>
  </si>
  <si>
    <t>Does Procas break "TotalBillingAmount" down by cost category (labor/ODC/fixed fee), or only give a grand total per invoice?</t>
  </si>
  <si>
    <t>Previously Billed (per cost category)</t>
  </si>
  <si>
    <t>Same GL Sales Trans / TotalBillingAmount pivot, if it can be split by category</t>
  </si>
  <si>
    <t>Same open question as above — category-level split</t>
  </si>
  <si>
    <t>% Expended</t>
  </si>
  <si>
    <t>Hours to Date (Current / Previous / To Date)</t>
  </si>
  <si>
    <t>Rolled up from timesheet hours per employee — see Timesheets section below</t>
  </si>
  <si>
    <t>Fringe / Overhead rate, Fixed Fee %, FCCM %</t>
  </si>
  <si>
    <t>1.09, 8%, 0.39% (examples)</t>
  </si>
  <si>
    <t>Confirm source — Procas or a rate table we maintain</t>
  </si>
  <si>
    <t>Other Direct Costs (OT premium, car rental, lodging, meals)</t>
  </si>
  <si>
    <t>Subconsultants</t>
  </si>
  <si>
    <t>Recurring - variable (if applicable)</t>
  </si>
  <si>
    <t>Labor Attachment</t>
  </si>
  <si>
    <t>Invoice Date / Invoice No. / Work Plan No.</t>
  </si>
  <si>
    <t>same as Invoice tab</t>
  </si>
  <si>
    <t>Same fields as Invoice tab</t>
  </si>
  <si>
    <t>Max Rate Cap / Bill Rate Override</t>
  </si>
  <si>
    <t>$115/hr (example)</t>
  </si>
  <si>
    <t>Classification / Name / Task No.</t>
  </si>
  <si>
    <t>e.g. Resident Engineer, Imani Lawson</t>
  </si>
  <si>
    <t>Static per employee</t>
  </si>
  <si>
    <t>Hours (per employee, per period)</t>
  </si>
  <si>
    <t>This is the core payroll input — where does Procas store approved hours per employee per period?</t>
  </si>
  <si>
    <t>Rate/Hour (per employee)</t>
  </si>
  <si>
    <t>$83/hr (example)</t>
  </si>
  <si>
    <t>Static - occasional raises</t>
  </si>
  <si>
    <t>As changed</t>
  </si>
  <si>
    <t>Amount / Billed $</t>
  </si>
  <si>
    <t>Progress Report</t>
  </si>
  <si>
    <t>Agreement No. / Work Plan / PO No. / Date / Period</t>
  </si>
  <si>
    <t>Narrative bullet list of work performed</t>
  </si>
  <si>
    <t>free-text bullets per person</t>
  </si>
  <si>
    <t>Manual - not in Procas</t>
  </si>
  <si>
    <t>N/A</t>
  </si>
  <si>
    <t>Not a data field — each team member writes this themselves. Automation should only pre-fill the header, not this content.</t>
  </si>
  <si>
    <t>Timesheets</t>
  </si>
  <si>
    <t>Employee Name</t>
  </si>
  <si>
    <t>e.g. Imani Lawson</t>
  </si>
  <si>
    <t>Static</t>
  </si>
  <si>
    <t>Week Ending date</t>
  </si>
  <si>
    <t>e.g. 6/5/2026</t>
  </si>
  <si>
    <t>Every week</t>
  </si>
  <si>
    <t>Daily hours by task (Sat–Fri)</t>
  </si>
  <si>
    <t>Confirm granularity: does Procas store daily hours by task, or only weekly/period totals? This determines what the timesheet export can actually show.</t>
  </si>
  <si>
    <t>PTO / Holiday hours</t>
  </si>
  <si>
    <t>Submitted by / Approved by</t>
  </si>
  <si>
    <t>name + date</t>
  </si>
  <si>
    <t>Workflow / signature</t>
  </si>
  <si>
    <t>Likely not needed for the automated export — confirm</t>
  </si>
  <si>
    <t>Tied to billing date (in drop down), not a Procas pull:  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</si>
</sst>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2F2F2"/>
      </patternFill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6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showGridLines="0" tabSelected="1" workbookViewId="0">
      <pane ySplit="1" topLeftCell="A5" activePane="bottomLeft" state="frozen"/>
      <selection pane="bottomLeft" activeCell="D1" sqref="D1:G1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3" width="28" customWidth="1"/>
    <col min="4" max="5" width="16" customWidth="1"/>
    <col min="6" max="7" width="22" customWidth="1"/>
    <col min="8" max="8" width="42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3" t="s">
        <v>14</v>
      </c>
      <c r="H2" s="3" t="s">
        <v>15</v>
      </c>
    </row>
    <row r="3" spans="1:8" ht="32" customHeight="1" x14ac:dyDescent="0.2">
      <c r="A3" s="2" t="s">
        <v>8</v>
      </c>
      <c r="B3" s="2" t="s">
        <v>16</v>
      </c>
      <c r="C3" s="2" t="s">
        <v>17</v>
      </c>
      <c r="D3" s="2" t="s">
        <v>11</v>
      </c>
      <c r="E3" s="2" t="s">
        <v>12</v>
      </c>
      <c r="F3" s="4"/>
      <c r="G3" s="4"/>
      <c r="H3" s="2" t="s">
        <v>99</v>
      </c>
    </row>
    <row r="4" spans="1:8" ht="32" customHeight="1" x14ac:dyDescent="0.2">
      <c r="A4" s="2" t="s">
        <v>8</v>
      </c>
      <c r="B4" s="2" t="s">
        <v>18</v>
      </c>
      <c r="C4" s="2" t="s">
        <v>19</v>
      </c>
      <c r="D4" s="2" t="s">
        <v>20</v>
      </c>
      <c r="E4" s="2" t="s">
        <v>21</v>
      </c>
      <c r="F4" s="4"/>
      <c r="G4" s="4"/>
      <c r="H4" s="2"/>
    </row>
    <row r="5" spans="1:8" ht="32" customHeight="1" x14ac:dyDescent="0.2">
      <c r="A5" s="2" t="s">
        <v>8</v>
      </c>
      <c r="B5" s="2" t="s">
        <v>22</v>
      </c>
      <c r="C5" s="2" t="s">
        <v>23</v>
      </c>
      <c r="D5" s="2" t="s">
        <v>24</v>
      </c>
      <c r="E5" s="2" t="s">
        <v>21</v>
      </c>
      <c r="F5" s="4"/>
      <c r="G5" s="4"/>
      <c r="H5" s="2"/>
    </row>
    <row r="6" spans="1:8" ht="32" customHeight="1" x14ac:dyDescent="0.2">
      <c r="A6" s="2" t="s">
        <v>8</v>
      </c>
      <c r="B6" s="2" t="s">
        <v>25</v>
      </c>
      <c r="C6" s="2" t="s">
        <v>26</v>
      </c>
      <c r="D6" s="2" t="s">
        <v>20</v>
      </c>
      <c r="E6" s="2" t="s">
        <v>21</v>
      </c>
      <c r="F6" s="4"/>
      <c r="G6" s="4"/>
      <c r="H6" s="2"/>
    </row>
    <row r="7" spans="1:8" ht="32" customHeight="1" x14ac:dyDescent="0.2">
      <c r="A7" s="2" t="s">
        <v>8</v>
      </c>
      <c r="B7" s="2" t="s">
        <v>27</v>
      </c>
      <c r="C7" s="2" t="s">
        <v>28</v>
      </c>
      <c r="D7" s="2" t="s">
        <v>11</v>
      </c>
      <c r="E7" s="2" t="s">
        <v>12</v>
      </c>
      <c r="F7" s="3"/>
      <c r="G7" s="3"/>
      <c r="H7" s="3" t="s">
        <v>29</v>
      </c>
    </row>
    <row r="8" spans="1:8" ht="32" customHeight="1" x14ac:dyDescent="0.2">
      <c r="A8" s="2" t="s">
        <v>8</v>
      </c>
      <c r="B8" s="2" t="s">
        <v>30</v>
      </c>
      <c r="C8" s="2" t="s">
        <v>31</v>
      </c>
      <c r="D8" s="2" t="s">
        <v>32</v>
      </c>
      <c r="E8" s="2" t="s">
        <v>33</v>
      </c>
      <c r="F8" s="4"/>
      <c r="G8" s="4"/>
      <c r="H8" s="2"/>
    </row>
    <row r="9" spans="1:8" ht="32" customHeight="1" x14ac:dyDescent="0.2">
      <c r="A9" s="2" t="s">
        <v>8</v>
      </c>
      <c r="B9" s="2" t="s">
        <v>34</v>
      </c>
      <c r="C9" s="2" t="s">
        <v>35</v>
      </c>
      <c r="D9" s="2" t="s">
        <v>36</v>
      </c>
      <c r="E9" s="2" t="s">
        <v>12</v>
      </c>
      <c r="F9" s="5" t="s">
        <v>37</v>
      </c>
      <c r="G9" s="5" t="s">
        <v>37</v>
      </c>
      <c r="H9" s="2"/>
    </row>
    <row r="10" spans="1:8" ht="32" customHeight="1" x14ac:dyDescent="0.2">
      <c r="A10" s="2" t="s">
        <v>8</v>
      </c>
      <c r="B10" s="2" t="s">
        <v>38</v>
      </c>
      <c r="C10" s="2" t="s">
        <v>35</v>
      </c>
      <c r="D10" s="2" t="s">
        <v>11</v>
      </c>
      <c r="E10" s="2" t="s">
        <v>12</v>
      </c>
      <c r="F10" s="6" t="s">
        <v>39</v>
      </c>
      <c r="G10" s="6" t="s">
        <v>40</v>
      </c>
      <c r="H10" s="2" t="s">
        <v>41</v>
      </c>
    </row>
    <row r="11" spans="1:8" ht="32" customHeight="1" x14ac:dyDescent="0.2">
      <c r="A11" s="2" t="s">
        <v>8</v>
      </c>
      <c r="B11" s="2" t="s">
        <v>42</v>
      </c>
      <c r="C11" s="2" t="s">
        <v>35</v>
      </c>
      <c r="D11" s="2" t="s">
        <v>36</v>
      </c>
      <c r="E11" s="2" t="s">
        <v>12</v>
      </c>
      <c r="F11" s="5" t="s">
        <v>37</v>
      </c>
      <c r="G11" s="5" t="s">
        <v>37</v>
      </c>
      <c r="H11" s="2" t="e">
        <f>Previously Billed + This Period</f>
        <v>#NAME?</v>
      </c>
    </row>
    <row r="12" spans="1:8" ht="32" customHeight="1" x14ac:dyDescent="0.2">
      <c r="A12" s="2" t="s">
        <v>8</v>
      </c>
      <c r="B12" s="2" t="s">
        <v>43</v>
      </c>
      <c r="C12" s="2" t="s">
        <v>35</v>
      </c>
      <c r="D12" s="2" t="s">
        <v>36</v>
      </c>
      <c r="E12" s="2" t="s">
        <v>12</v>
      </c>
      <c r="F12" s="5" t="s">
        <v>37</v>
      </c>
      <c r="G12" s="5" t="s">
        <v>37</v>
      </c>
      <c r="H12" s="2"/>
    </row>
    <row r="13" spans="1:8" ht="32" customHeight="1" x14ac:dyDescent="0.2">
      <c r="A13" s="2" t="s">
        <v>44</v>
      </c>
      <c r="B13" s="2" t="s">
        <v>45</v>
      </c>
      <c r="C13" s="2" t="s">
        <v>46</v>
      </c>
      <c r="D13" s="2" t="s">
        <v>32</v>
      </c>
      <c r="E13" s="2" t="s">
        <v>33</v>
      </c>
      <c r="F13" s="3"/>
      <c r="G13" s="3"/>
      <c r="H13" s="3" t="s">
        <v>47</v>
      </c>
    </row>
    <row r="14" spans="1:8" ht="32" customHeight="1" x14ac:dyDescent="0.2">
      <c r="A14" s="2" t="s">
        <v>44</v>
      </c>
      <c r="B14" s="2" t="s">
        <v>48</v>
      </c>
      <c r="C14" s="2" t="s">
        <v>46</v>
      </c>
      <c r="D14" s="2" t="s">
        <v>11</v>
      </c>
      <c r="E14" s="2" t="s">
        <v>12</v>
      </c>
      <c r="F14" s="3"/>
      <c r="G14" s="3"/>
      <c r="H14" s="3" t="s">
        <v>49</v>
      </c>
    </row>
    <row r="15" spans="1:8" ht="32" customHeight="1" x14ac:dyDescent="0.2">
      <c r="A15" s="2" t="s">
        <v>44</v>
      </c>
      <c r="B15" s="2" t="s">
        <v>50</v>
      </c>
      <c r="C15" s="2" t="s">
        <v>46</v>
      </c>
      <c r="D15" s="2" t="s">
        <v>11</v>
      </c>
      <c r="E15" s="2" t="s">
        <v>12</v>
      </c>
      <c r="F15" s="3" t="s">
        <v>39</v>
      </c>
      <c r="G15" s="3" t="s">
        <v>51</v>
      </c>
      <c r="H15" s="3" t="s">
        <v>52</v>
      </c>
    </row>
    <row r="16" spans="1:8" ht="32" customHeight="1" x14ac:dyDescent="0.2">
      <c r="A16" s="2" t="s">
        <v>44</v>
      </c>
      <c r="B16" s="2" t="s">
        <v>53</v>
      </c>
      <c r="C16" s="2" t="s">
        <v>35</v>
      </c>
      <c r="D16" s="2" t="s">
        <v>36</v>
      </c>
      <c r="E16" s="2" t="s">
        <v>12</v>
      </c>
      <c r="F16" s="5" t="s">
        <v>37</v>
      </c>
      <c r="G16" s="5" t="s">
        <v>37</v>
      </c>
      <c r="H16" s="2" t="e">
        <f>Amount to Date / Budget</f>
        <v>#NAME?</v>
      </c>
    </row>
    <row r="17" spans="1:8" ht="32" customHeight="1" x14ac:dyDescent="0.2">
      <c r="A17" s="2" t="s">
        <v>44</v>
      </c>
      <c r="B17" s="2" t="s">
        <v>54</v>
      </c>
      <c r="C17" s="2" t="s">
        <v>46</v>
      </c>
      <c r="D17" s="2" t="s">
        <v>11</v>
      </c>
      <c r="E17" s="2" t="s">
        <v>12</v>
      </c>
      <c r="F17" s="4"/>
      <c r="G17" s="4"/>
      <c r="H17" s="2" t="s">
        <v>55</v>
      </c>
    </row>
    <row r="18" spans="1:8" ht="32" customHeight="1" x14ac:dyDescent="0.2">
      <c r="A18" s="2" t="s">
        <v>44</v>
      </c>
      <c r="B18" s="2" t="s">
        <v>56</v>
      </c>
      <c r="C18" s="2" t="s">
        <v>57</v>
      </c>
      <c r="D18" s="2" t="s">
        <v>32</v>
      </c>
      <c r="E18" s="2" t="s">
        <v>33</v>
      </c>
      <c r="F18" s="4"/>
      <c r="G18" s="4"/>
      <c r="H18" s="2" t="s">
        <v>58</v>
      </c>
    </row>
    <row r="19" spans="1:8" ht="32" customHeight="1" x14ac:dyDescent="0.2">
      <c r="A19" s="2" t="s">
        <v>44</v>
      </c>
      <c r="B19" s="2" t="s">
        <v>59</v>
      </c>
      <c r="C19" s="2" t="s">
        <v>46</v>
      </c>
      <c r="D19" s="2" t="s">
        <v>11</v>
      </c>
      <c r="E19" s="2" t="s">
        <v>12</v>
      </c>
      <c r="F19" s="4"/>
      <c r="G19" s="4"/>
      <c r="H19" s="2"/>
    </row>
    <row r="20" spans="1:8" ht="32" customHeight="1" x14ac:dyDescent="0.2">
      <c r="A20" s="2" t="s">
        <v>44</v>
      </c>
      <c r="B20" s="2" t="s">
        <v>60</v>
      </c>
      <c r="C20" s="2" t="s">
        <v>46</v>
      </c>
      <c r="D20" s="2" t="s">
        <v>61</v>
      </c>
      <c r="E20" s="2" t="s">
        <v>12</v>
      </c>
      <c r="F20" s="4"/>
      <c r="G20" s="4"/>
      <c r="H20" s="2"/>
    </row>
    <row r="21" spans="1:8" ht="32" customHeight="1" x14ac:dyDescent="0.2">
      <c r="A21" s="2" t="s">
        <v>62</v>
      </c>
      <c r="B21" s="2" t="s">
        <v>63</v>
      </c>
      <c r="C21" s="2" t="s">
        <v>64</v>
      </c>
      <c r="D21" s="2" t="s">
        <v>11</v>
      </c>
      <c r="E21" s="2" t="s">
        <v>12</v>
      </c>
      <c r="F21" s="5" t="s">
        <v>37</v>
      </c>
      <c r="G21" s="5" t="s">
        <v>37</v>
      </c>
      <c r="H21" s="2" t="s">
        <v>65</v>
      </c>
    </row>
    <row r="22" spans="1:8" ht="32" customHeight="1" x14ac:dyDescent="0.2">
      <c r="A22" s="2" t="s">
        <v>62</v>
      </c>
      <c r="B22" s="2" t="s">
        <v>66</v>
      </c>
      <c r="C22" s="2" t="s">
        <v>67</v>
      </c>
      <c r="D22" s="2" t="s">
        <v>24</v>
      </c>
      <c r="E22" s="2" t="s">
        <v>21</v>
      </c>
      <c r="F22" s="4"/>
      <c r="G22" s="4"/>
      <c r="H22" s="2"/>
    </row>
    <row r="23" spans="1:8" ht="32" customHeight="1" x14ac:dyDescent="0.2">
      <c r="A23" s="2" t="s">
        <v>62</v>
      </c>
      <c r="B23" s="2" t="s">
        <v>68</v>
      </c>
      <c r="C23" s="2" t="s">
        <v>69</v>
      </c>
      <c r="D23" s="2" t="s">
        <v>70</v>
      </c>
      <c r="E23" s="2" t="s">
        <v>21</v>
      </c>
      <c r="F23" s="4"/>
      <c r="G23" s="4"/>
      <c r="H23" s="2"/>
    </row>
    <row r="24" spans="1:8" ht="32" customHeight="1" x14ac:dyDescent="0.2">
      <c r="A24" s="2" t="s">
        <v>62</v>
      </c>
      <c r="B24" s="2" t="s">
        <v>71</v>
      </c>
      <c r="C24" s="2" t="s">
        <v>46</v>
      </c>
      <c r="D24" s="2" t="s">
        <v>11</v>
      </c>
      <c r="E24" s="2" t="s">
        <v>12</v>
      </c>
      <c r="F24" s="3"/>
      <c r="G24" s="3"/>
      <c r="H24" s="3" t="s">
        <v>72</v>
      </c>
    </row>
    <row r="25" spans="1:8" ht="32" customHeight="1" x14ac:dyDescent="0.2">
      <c r="A25" s="2" t="s">
        <v>62</v>
      </c>
      <c r="B25" s="2" t="s">
        <v>73</v>
      </c>
      <c r="C25" s="2" t="s">
        <v>74</v>
      </c>
      <c r="D25" s="2" t="s">
        <v>75</v>
      </c>
      <c r="E25" s="2" t="s">
        <v>76</v>
      </c>
      <c r="F25" s="4"/>
      <c r="G25" s="4"/>
      <c r="H25" s="2"/>
    </row>
    <row r="26" spans="1:8" ht="32" customHeight="1" x14ac:dyDescent="0.2">
      <c r="A26" s="2" t="s">
        <v>62</v>
      </c>
      <c r="B26" s="2" t="s">
        <v>77</v>
      </c>
      <c r="C26" s="2" t="s">
        <v>46</v>
      </c>
      <c r="D26" s="2" t="s">
        <v>36</v>
      </c>
      <c r="E26" s="2" t="s">
        <v>12</v>
      </c>
      <c r="F26" s="5" t="s">
        <v>37</v>
      </c>
      <c r="G26" s="5" t="s">
        <v>37</v>
      </c>
      <c r="H26" s="2"/>
    </row>
    <row r="27" spans="1:8" ht="32" customHeight="1" x14ac:dyDescent="0.2">
      <c r="A27" s="2" t="s">
        <v>78</v>
      </c>
      <c r="B27" s="2" t="s">
        <v>79</v>
      </c>
      <c r="C27" s="2" t="s">
        <v>64</v>
      </c>
      <c r="D27" s="2" t="s">
        <v>11</v>
      </c>
      <c r="E27" s="2" t="s">
        <v>12</v>
      </c>
      <c r="F27" s="5" t="s">
        <v>37</v>
      </c>
      <c r="G27" s="5" t="s">
        <v>37</v>
      </c>
      <c r="H27" s="2" t="s">
        <v>65</v>
      </c>
    </row>
    <row r="28" spans="1:8" ht="32" customHeight="1" x14ac:dyDescent="0.2">
      <c r="A28" s="2" t="s">
        <v>78</v>
      </c>
      <c r="B28" s="2" t="s">
        <v>80</v>
      </c>
      <c r="C28" s="2" t="s">
        <v>81</v>
      </c>
      <c r="D28" s="2" t="s">
        <v>82</v>
      </c>
      <c r="E28" s="2" t="s">
        <v>12</v>
      </c>
      <c r="F28" s="5" t="s">
        <v>83</v>
      </c>
      <c r="G28" s="5" t="s">
        <v>83</v>
      </c>
      <c r="H28" s="2" t="s">
        <v>84</v>
      </c>
    </row>
    <row r="29" spans="1:8" ht="32" customHeight="1" x14ac:dyDescent="0.2">
      <c r="A29" s="2" t="s">
        <v>85</v>
      </c>
      <c r="B29" s="2" t="s">
        <v>86</v>
      </c>
      <c r="C29" s="2" t="s">
        <v>87</v>
      </c>
      <c r="D29" s="2" t="s">
        <v>88</v>
      </c>
      <c r="E29" s="2" t="s">
        <v>21</v>
      </c>
      <c r="F29" s="4"/>
      <c r="G29" s="4"/>
      <c r="H29" s="2"/>
    </row>
    <row r="30" spans="1:8" ht="32" customHeight="1" x14ac:dyDescent="0.2">
      <c r="A30" s="2" t="s">
        <v>85</v>
      </c>
      <c r="B30" s="2" t="s">
        <v>89</v>
      </c>
      <c r="C30" s="2" t="s">
        <v>90</v>
      </c>
      <c r="D30" s="2" t="s">
        <v>11</v>
      </c>
      <c r="E30" s="2" t="s">
        <v>91</v>
      </c>
      <c r="F30" s="4"/>
      <c r="G30" s="4"/>
      <c r="H30" s="2"/>
    </row>
    <row r="31" spans="1:8" ht="32" customHeight="1" x14ac:dyDescent="0.2">
      <c r="A31" s="2" t="s">
        <v>85</v>
      </c>
      <c r="B31" s="2" t="s">
        <v>92</v>
      </c>
      <c r="C31" s="2" t="s">
        <v>46</v>
      </c>
      <c r="D31" s="2" t="s">
        <v>11</v>
      </c>
      <c r="E31" s="2" t="s">
        <v>91</v>
      </c>
      <c r="F31" s="3"/>
      <c r="G31" s="3"/>
      <c r="H31" s="3" t="s">
        <v>93</v>
      </c>
    </row>
    <row r="32" spans="1:8" ht="32" customHeight="1" x14ac:dyDescent="0.2">
      <c r="A32" s="2" t="s">
        <v>85</v>
      </c>
      <c r="B32" s="2" t="s">
        <v>94</v>
      </c>
      <c r="C32" s="2" t="s">
        <v>46</v>
      </c>
      <c r="D32" s="2" t="s">
        <v>11</v>
      </c>
      <c r="E32" s="2" t="s">
        <v>91</v>
      </c>
      <c r="F32" s="4"/>
      <c r="G32" s="4"/>
      <c r="H32" s="2"/>
    </row>
    <row r="33" spans="1:8" ht="32" customHeight="1" x14ac:dyDescent="0.2">
      <c r="A33" s="2" t="s">
        <v>85</v>
      </c>
      <c r="B33" s="2" t="s">
        <v>95</v>
      </c>
      <c r="C33" s="2" t="s">
        <v>96</v>
      </c>
      <c r="D33" s="2" t="s">
        <v>97</v>
      </c>
      <c r="E33" s="2" t="s">
        <v>91</v>
      </c>
      <c r="F33" s="4"/>
      <c r="G33" s="4"/>
      <c r="H33" s="2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Mora</cp:lastModifiedBy>
  <dcterms:created xsi:type="dcterms:W3CDTF">2026-08-06T20:11:31Z</dcterms:created>
  <dcterms:modified xsi:type="dcterms:W3CDTF">2026-08-10T15:10:01Z</dcterms:modified>
</cp:coreProperties>
</file>